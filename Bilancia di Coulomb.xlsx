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ma_ftmzm4t\Google Drive (a.martini25@campus.unimib.it)\Laboratorio\"/>
    </mc:Choice>
  </mc:AlternateContent>
  <xr:revisionPtr revIDLastSave="0" documentId="8_{C188FF75-AEF4-4A02-8700-8D25CD120D51}" xr6:coauthVersionLast="46" xr6:coauthVersionMax="46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Foglio1" sheetId="1" r:id="rId1"/>
    <sheet name="Foglio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166" i="2"/>
  <c r="F166" i="2"/>
  <c r="D166" i="2"/>
  <c r="B166" i="2"/>
  <c r="I159" i="2"/>
  <c r="B177" i="2"/>
  <c r="L10" i="2"/>
  <c r="B185" i="2"/>
  <c r="B184" i="2"/>
  <c r="B183" i="2"/>
  <c r="B182" i="2"/>
  <c r="B181" i="2"/>
  <c r="K163" i="2"/>
  <c r="I163" i="2"/>
  <c r="B170" i="2"/>
  <c r="B180" i="2"/>
  <c r="K162" i="2"/>
  <c r="I162" i="2"/>
  <c r="B169" i="2"/>
  <c r="B179" i="2"/>
  <c r="K161" i="2"/>
  <c r="I161" i="2"/>
  <c r="B168" i="2"/>
  <c r="B178" i="2"/>
  <c r="K160" i="2"/>
  <c r="I160" i="2"/>
  <c r="B167" i="2"/>
  <c r="K159" i="2"/>
  <c r="Q111" i="2"/>
  <c r="M111" i="2"/>
  <c r="K111" i="2"/>
  <c r="I112" i="2"/>
  <c r="M134" i="2" s="1"/>
  <c r="Q110" i="2"/>
  <c r="M110" i="2"/>
  <c r="K110" i="2"/>
  <c r="I111" i="2"/>
  <c r="M133" i="2" s="1"/>
  <c r="Q109" i="2"/>
  <c r="M109" i="2"/>
  <c r="K109" i="2"/>
  <c r="I110" i="2"/>
  <c r="M132" i="2" s="1"/>
  <c r="Q108" i="2"/>
  <c r="M108" i="2"/>
  <c r="K108" i="2"/>
  <c r="I109" i="2"/>
  <c r="M131" i="2" s="1"/>
  <c r="Q107" i="2"/>
  <c r="M107" i="2"/>
  <c r="K107" i="2"/>
  <c r="I108" i="2"/>
  <c r="M130" i="2" s="1"/>
  <c r="Q106" i="2"/>
  <c r="M106" i="2"/>
  <c r="K106" i="2"/>
  <c r="I107" i="2"/>
  <c r="M129" i="2" s="1"/>
  <c r="Q105" i="2"/>
  <c r="M105" i="2"/>
  <c r="K105" i="2"/>
  <c r="I106" i="2"/>
  <c r="M128" i="2" s="1"/>
  <c r="Q104" i="2"/>
  <c r="M104" i="2"/>
  <c r="K104" i="2"/>
  <c r="I105" i="2"/>
  <c r="M127" i="2" s="1"/>
  <c r="Q103" i="2"/>
  <c r="M103" i="2"/>
  <c r="K103" i="2"/>
  <c r="I104" i="2"/>
  <c r="M126" i="2" s="1"/>
  <c r="Q102" i="2"/>
  <c r="M102" i="2"/>
  <c r="K102" i="2"/>
  <c r="I102" i="2"/>
  <c r="M125" i="2" s="1"/>
  <c r="Q101" i="2"/>
  <c r="M101" i="2"/>
  <c r="K101" i="2"/>
  <c r="I101" i="2"/>
  <c r="M124" i="2" s="1"/>
  <c r="Q100" i="2"/>
  <c r="M100" i="2"/>
  <c r="K100" i="2"/>
  <c r="I100" i="2"/>
  <c r="M123" i="2" s="1"/>
  <c r="Q99" i="2"/>
  <c r="M99" i="2"/>
  <c r="K99" i="2"/>
  <c r="I99" i="2"/>
  <c r="M122" i="2" s="1"/>
  <c r="Q98" i="2"/>
  <c r="M98" i="2"/>
  <c r="K98" i="2"/>
  <c r="I98" i="2"/>
  <c r="M121" i="2" s="1"/>
  <c r="Q97" i="2"/>
  <c r="M97" i="2"/>
  <c r="K97" i="2"/>
  <c r="I97" i="2"/>
  <c r="M120" i="2" s="1"/>
  <c r="Q96" i="2"/>
  <c r="M96" i="2"/>
  <c r="K96" i="2"/>
  <c r="I96" i="2"/>
  <c r="M119" i="2" s="1"/>
  <c r="Q95" i="2"/>
  <c r="M95" i="2"/>
  <c r="K95" i="2"/>
  <c r="I95" i="2"/>
  <c r="M118" i="2" s="1"/>
  <c r="K117" i="2"/>
  <c r="Q94" i="2"/>
  <c r="K94" i="2"/>
  <c r="I94" i="2"/>
  <c r="M117" i="2" s="1"/>
  <c r="J24" i="2"/>
  <c r="B24" i="2"/>
  <c r="F24" i="2" s="1"/>
  <c r="J23" i="2"/>
  <c r="B23" i="2"/>
  <c r="F23" i="2" s="1"/>
  <c r="J22" i="2"/>
  <c r="B22" i="2"/>
  <c r="F22" i="2" s="1"/>
  <c r="J21" i="2"/>
  <c r="B21" i="2"/>
  <c r="F21" i="2" s="1"/>
  <c r="J20" i="2"/>
  <c r="B20" i="2"/>
  <c r="F20" i="2" s="1"/>
  <c r="J19" i="2"/>
  <c r="B19" i="2"/>
  <c r="F19" i="2" s="1"/>
  <c r="M15" i="2"/>
  <c r="M43" i="2" s="1"/>
  <c r="L15" i="2"/>
  <c r="H15" i="2"/>
  <c r="L24" i="2"/>
  <c r="M14" i="2"/>
  <c r="M42" i="2" s="1"/>
  <c r="L14" i="2"/>
  <c r="H14" i="2"/>
  <c r="L23" i="2"/>
  <c r="M13" i="2"/>
  <c r="M41" i="2" s="1"/>
  <c r="L13" i="2"/>
  <c r="H13" i="2"/>
  <c r="L22" i="2"/>
  <c r="M12" i="2"/>
  <c r="M40" i="2" s="1"/>
  <c r="L12" i="2"/>
  <c r="H12" i="2"/>
  <c r="L21" i="2"/>
  <c r="M11" i="2"/>
  <c r="M39" i="2" s="1"/>
  <c r="L11" i="2"/>
  <c r="H11" i="2"/>
  <c r="L20" i="2"/>
  <c r="M10" i="2"/>
  <c r="M38" i="2" s="1"/>
  <c r="H10" i="2"/>
  <c r="M46" i="2" s="1"/>
  <c r="L19" i="2"/>
  <c r="P52" i="1"/>
  <c r="Q52" i="1" s="1"/>
  <c r="P53" i="1"/>
  <c r="Q53" i="1" s="1"/>
  <c r="P54" i="1"/>
  <c r="P55" i="1"/>
  <c r="P56" i="1"/>
  <c r="P57" i="1"/>
  <c r="Q57" i="1" s="1"/>
  <c r="P58" i="1"/>
  <c r="Q58" i="1" s="1"/>
  <c r="P59" i="1"/>
  <c r="Q59" i="1" s="1"/>
  <c r="P51" i="1"/>
  <c r="Q51" i="1" s="1"/>
  <c r="Q40" i="1"/>
  <c r="Q41" i="1"/>
  <c r="Q42" i="1"/>
  <c r="Q43" i="1"/>
  <c r="Q44" i="1"/>
  <c r="Q45" i="1"/>
  <c r="Q46" i="1"/>
  <c r="Q47" i="1"/>
  <c r="Q54" i="1"/>
  <c r="Q55" i="1"/>
  <c r="Q56" i="1"/>
  <c r="Q39" i="1"/>
  <c r="M51" i="1"/>
  <c r="O51" i="1"/>
  <c r="O52" i="1"/>
  <c r="O53" i="1"/>
  <c r="O54" i="1"/>
  <c r="O55" i="1"/>
  <c r="M55" i="1" s="1"/>
  <c r="O56" i="1"/>
  <c r="M56" i="1" s="1"/>
  <c r="O57" i="1"/>
  <c r="M57" i="1" s="1"/>
  <c r="O58" i="1"/>
  <c r="M58" i="1" s="1"/>
  <c r="O59" i="1"/>
  <c r="M52" i="1"/>
  <c r="M53" i="1"/>
  <c r="M54" i="1"/>
  <c r="M59" i="1"/>
  <c r="L51" i="1"/>
  <c r="L52" i="1"/>
  <c r="L53" i="1"/>
  <c r="L54" i="1"/>
  <c r="L55" i="1"/>
  <c r="L56" i="1"/>
  <c r="L57" i="1"/>
  <c r="L58" i="1"/>
  <c r="L59" i="1"/>
  <c r="N40" i="1"/>
  <c r="N41" i="1"/>
  <c r="N42" i="1"/>
  <c r="N43" i="1"/>
  <c r="N44" i="1"/>
  <c r="N45" i="1"/>
  <c r="N46" i="1"/>
  <c r="N47" i="1"/>
  <c r="N39" i="1"/>
  <c r="P40" i="1"/>
  <c r="P41" i="1"/>
  <c r="P42" i="1"/>
  <c r="P43" i="1"/>
  <c r="P44" i="1"/>
  <c r="P45" i="1"/>
  <c r="P46" i="1"/>
  <c r="P47" i="1"/>
  <c r="P39" i="1"/>
  <c r="M40" i="1"/>
  <c r="M41" i="1"/>
  <c r="M42" i="1"/>
  <c r="M43" i="1"/>
  <c r="M44" i="1"/>
  <c r="M45" i="1"/>
  <c r="M46" i="1"/>
  <c r="M47" i="1"/>
  <c r="M39" i="1"/>
  <c r="L40" i="1"/>
  <c r="L41" i="1"/>
  <c r="L42" i="1"/>
  <c r="L43" i="1"/>
  <c r="L44" i="1"/>
  <c r="L45" i="1"/>
  <c r="L46" i="1"/>
  <c r="L47" i="1"/>
  <c r="L39" i="1"/>
  <c r="O40" i="1"/>
  <c r="O41" i="1"/>
  <c r="O42" i="1"/>
  <c r="O43" i="1"/>
  <c r="O44" i="1"/>
  <c r="O45" i="1"/>
  <c r="O46" i="1"/>
  <c r="O47" i="1"/>
  <c r="O39" i="1"/>
  <c r="N51" i="1"/>
  <c r="N52" i="1"/>
  <c r="N53" i="1"/>
  <c r="N54" i="1"/>
  <c r="N55" i="1"/>
  <c r="N56" i="1"/>
  <c r="N57" i="1"/>
  <c r="N58" i="1"/>
  <c r="N59" i="1"/>
  <c r="K40" i="1"/>
  <c r="K41" i="1"/>
  <c r="K42" i="1"/>
  <c r="K43" i="1"/>
  <c r="K44" i="1"/>
  <c r="K45" i="1"/>
  <c r="K46" i="1"/>
  <c r="K47" i="1"/>
  <c r="K51" i="1"/>
  <c r="K52" i="1"/>
  <c r="K53" i="1"/>
  <c r="K54" i="1"/>
  <c r="K55" i="1"/>
  <c r="K56" i="1"/>
  <c r="K57" i="1"/>
  <c r="K58" i="1"/>
  <c r="K59" i="1"/>
  <c r="K39" i="1"/>
  <c r="L65" i="1"/>
  <c r="L66" i="1"/>
  <c r="L67" i="1"/>
  <c r="L68" i="1"/>
  <c r="L64" i="1"/>
  <c r="F71" i="1" a="1"/>
  <c r="F71" i="1" s="1"/>
  <c r="T64" i="1"/>
  <c r="A65" i="1"/>
  <c r="A66" i="1"/>
  <c r="A67" i="1"/>
  <c r="A68" i="1"/>
  <c r="A64" i="1"/>
  <c r="T39" i="1"/>
  <c r="V65" i="1"/>
  <c r="V66" i="1"/>
  <c r="V67" i="1"/>
  <c r="V68" i="1"/>
  <c r="V69" i="1"/>
  <c r="V70" i="1"/>
  <c r="V71" i="1"/>
  <c r="V72" i="1"/>
  <c r="V64" i="1"/>
  <c r="T67" i="1"/>
  <c r="I52" i="1"/>
  <c r="I53" i="1"/>
  <c r="I54" i="1"/>
  <c r="I55" i="1"/>
  <c r="I56" i="1"/>
  <c r="I57" i="1"/>
  <c r="I58" i="1"/>
  <c r="I59" i="1"/>
  <c r="I51" i="1"/>
  <c r="H65" i="1"/>
  <c r="U79" i="1" s="1"/>
  <c r="H66" i="1"/>
  <c r="K66" i="1" s="1"/>
  <c r="H67" i="1"/>
  <c r="U81" i="1" s="1"/>
  <c r="H68" i="1"/>
  <c r="U82" i="1" s="1"/>
  <c r="H64" i="1"/>
  <c r="K64" i="1" s="1"/>
  <c r="G65" i="1"/>
  <c r="G66" i="1"/>
  <c r="G67" i="1"/>
  <c r="G68" i="1"/>
  <c r="G64" i="1"/>
  <c r="I40" i="1"/>
  <c r="I41" i="1"/>
  <c r="I42" i="1"/>
  <c r="I43" i="1"/>
  <c r="I44" i="1"/>
  <c r="I45" i="1"/>
  <c r="I46" i="1"/>
  <c r="I47" i="1"/>
  <c r="I39" i="1"/>
  <c r="H13" i="1"/>
  <c r="H14" i="1"/>
  <c r="H15" i="1"/>
  <c r="H16" i="1"/>
  <c r="H17" i="1"/>
  <c r="H12" i="1"/>
  <c r="A4" i="1"/>
  <c r="A5" i="1"/>
  <c r="A6" i="1"/>
  <c r="A7" i="1"/>
  <c r="A8" i="1"/>
  <c r="A3" i="1"/>
  <c r="C13" i="1"/>
  <c r="G13" i="1" s="1"/>
  <c r="C14" i="1"/>
  <c r="G14" i="1" s="1"/>
  <c r="C15" i="1"/>
  <c r="G15" i="1" s="1"/>
  <c r="C16" i="1"/>
  <c r="G16" i="1" s="1"/>
  <c r="C17" i="1"/>
  <c r="G17" i="1" s="1"/>
  <c r="C12" i="1"/>
  <c r="G12" i="1" s="1"/>
  <c r="W4" i="1"/>
  <c r="W21" i="1" s="1"/>
  <c r="W5" i="1"/>
  <c r="W22" i="1" s="1"/>
  <c r="W6" i="1"/>
  <c r="W23" i="1" s="1"/>
  <c r="W7" i="1"/>
  <c r="W24" i="1" s="1"/>
  <c r="W8" i="1"/>
  <c r="W25" i="1" s="1"/>
  <c r="W3" i="1"/>
  <c r="W20" i="1" s="1"/>
  <c r="V4" i="1"/>
  <c r="V5" i="1"/>
  <c r="V6" i="1"/>
  <c r="V7" i="1"/>
  <c r="V8" i="1"/>
  <c r="V3" i="1"/>
  <c r="I4" i="1"/>
  <c r="B21" i="1" s="1"/>
  <c r="I5" i="1"/>
  <c r="B22" i="1" s="1"/>
  <c r="I6" i="1"/>
  <c r="B23" i="1" s="1"/>
  <c r="I7" i="1"/>
  <c r="B24" i="1" s="1"/>
  <c r="I8" i="1"/>
  <c r="B25" i="1" s="1"/>
  <c r="I3" i="1"/>
  <c r="B20" i="1" s="1"/>
  <c r="L177" i="2" l="1"/>
  <c r="D182" i="2"/>
  <c r="I38" i="2"/>
  <c r="I50" i="2"/>
  <c r="K38" i="2"/>
  <c r="D19" i="2"/>
  <c r="D27" i="2"/>
  <c r="B27" i="2"/>
  <c r="O10" i="2"/>
  <c r="D28" i="2"/>
  <c r="N20" i="2"/>
  <c r="I39" i="2"/>
  <c r="M47" i="2"/>
  <c r="K39" i="2"/>
  <c r="B28" i="2"/>
  <c r="O11" i="2"/>
  <c r="D20" i="2"/>
  <c r="D29" i="2"/>
  <c r="N21" i="2"/>
  <c r="I40" i="2"/>
  <c r="M48" i="2"/>
  <c r="K40" i="2"/>
  <c r="B29" i="2"/>
  <c r="O12" i="2"/>
  <c r="D21" i="2"/>
  <c r="D30" i="2"/>
  <c r="N22" i="2"/>
  <c r="I41" i="2"/>
  <c r="M49" i="2"/>
  <c r="K41" i="2"/>
  <c r="B30" i="2"/>
  <c r="O13" i="2"/>
  <c r="D22" i="2"/>
  <c r="D31" i="2"/>
  <c r="N23" i="2"/>
  <c r="I42" i="2"/>
  <c r="M50" i="2"/>
  <c r="K42" i="2"/>
  <c r="B31" i="2"/>
  <c r="O14" i="2"/>
  <c r="D23" i="2"/>
  <c r="D32" i="2"/>
  <c r="N24" i="2"/>
  <c r="I43" i="2"/>
  <c r="M51" i="2"/>
  <c r="K43" i="2"/>
  <c r="B32" i="2"/>
  <c r="O15" i="2"/>
  <c r="D24" i="2"/>
  <c r="O117" i="2"/>
  <c r="O94" i="2"/>
  <c r="G117" i="2" s="1"/>
  <c r="O118" i="2"/>
  <c r="O95" i="2"/>
  <c r="O119" i="2"/>
  <c r="O96" i="2"/>
  <c r="O120" i="2"/>
  <c r="O97" i="2"/>
  <c r="O121" i="2"/>
  <c r="O98" i="2"/>
  <c r="O122" i="2"/>
  <c r="O99" i="2"/>
  <c r="O123" i="2"/>
  <c r="O100" i="2"/>
  <c r="O124" i="2"/>
  <c r="O101" i="2"/>
  <c r="O125" i="2"/>
  <c r="O102" i="2"/>
  <c r="O126" i="2"/>
  <c r="O103" i="2"/>
  <c r="O127" i="2"/>
  <c r="O104" i="2"/>
  <c r="O128" i="2"/>
  <c r="O105" i="2"/>
  <c r="O129" i="2"/>
  <c r="O106" i="2"/>
  <c r="O130" i="2"/>
  <c r="O107" i="2"/>
  <c r="O131" i="2"/>
  <c r="O108" i="2"/>
  <c r="O132" i="2"/>
  <c r="O109" i="2"/>
  <c r="O133" i="2"/>
  <c r="O110" i="2"/>
  <c r="O134" i="2"/>
  <c r="O111" i="2"/>
  <c r="G159" i="2"/>
  <c r="N177" i="2"/>
  <c r="O166" i="2"/>
  <c r="F181" i="2"/>
  <c r="J180" i="2" s="1"/>
  <c r="G163" i="2"/>
  <c r="F180" i="2"/>
  <c r="J179" i="2" s="1"/>
  <c r="G162" i="2"/>
  <c r="F179" i="2"/>
  <c r="J178" i="2" s="1"/>
  <c r="G161" i="2"/>
  <c r="F178" i="2"/>
  <c r="J177" i="2" s="1"/>
  <c r="G160" i="2"/>
  <c r="F177" i="2"/>
  <c r="J176" i="2" s="1"/>
  <c r="D177" i="2"/>
  <c r="L178" i="2"/>
  <c r="N178" i="2"/>
  <c r="O167" i="2"/>
  <c r="D178" i="2"/>
  <c r="L179" i="2"/>
  <c r="N179" i="2"/>
  <c r="O168" i="2"/>
  <c r="D179" i="2"/>
  <c r="L180" i="2"/>
  <c r="N180" i="2"/>
  <c r="O169" i="2"/>
  <c r="D180" i="2"/>
  <c r="L181" i="2"/>
  <c r="N181" i="2"/>
  <c r="O170" i="2"/>
  <c r="D181" i="2"/>
  <c r="D183" i="2"/>
  <c r="D184" i="2"/>
  <c r="D185" i="2"/>
  <c r="U80" i="1"/>
  <c r="K65" i="1"/>
  <c r="F64" i="1"/>
  <c r="K68" i="1"/>
  <c r="K67" i="1"/>
  <c r="H77" i="1"/>
  <c r="U54" i="1"/>
  <c r="V54" i="1" s="1"/>
  <c r="F68" i="1"/>
  <c r="H78" i="1"/>
  <c r="F67" i="1"/>
  <c r="F66" i="1"/>
  <c r="H76" i="1"/>
  <c r="F65" i="1"/>
  <c r="H75" i="1"/>
  <c r="Y64" i="1"/>
  <c r="AA64" i="1" s="1"/>
  <c r="U78" i="1"/>
  <c r="H74" i="1"/>
  <c r="W68" i="1"/>
  <c r="U52" i="1"/>
  <c r="V52" i="1" s="1"/>
  <c r="W66" i="1"/>
  <c r="U47" i="1"/>
  <c r="V47" i="1" s="1"/>
  <c r="U59" i="1"/>
  <c r="V59" i="1" s="1"/>
  <c r="U51" i="1"/>
  <c r="V51" i="1" s="1"/>
  <c r="U53" i="1"/>
  <c r="V53" i="1" s="1"/>
  <c r="U39" i="1"/>
  <c r="V39" i="1" s="1"/>
  <c r="W64" i="1"/>
  <c r="W65" i="1"/>
  <c r="U46" i="1"/>
  <c r="V46" i="1" s="1"/>
  <c r="U58" i="1"/>
  <c r="V58" i="1" s="1"/>
  <c r="Y68" i="1"/>
  <c r="AA68" i="1" s="1"/>
  <c r="U45" i="1"/>
  <c r="V45" i="1" s="1"/>
  <c r="W71" i="1"/>
  <c r="Y67" i="1"/>
  <c r="AA67" i="1" s="1"/>
  <c r="U44" i="1"/>
  <c r="V44" i="1" s="1"/>
  <c r="U56" i="1"/>
  <c r="V56" i="1" s="1"/>
  <c r="W67" i="1"/>
  <c r="W70" i="1"/>
  <c r="Y66" i="1"/>
  <c r="AA66" i="1" s="1"/>
  <c r="U43" i="1"/>
  <c r="V43" i="1" s="1"/>
  <c r="U55" i="1"/>
  <c r="V55" i="1" s="1"/>
  <c r="U41" i="1"/>
  <c r="V41" i="1" s="1"/>
  <c r="U40" i="1"/>
  <c r="V40" i="1" s="1"/>
  <c r="W72" i="1"/>
  <c r="U57" i="1"/>
  <c r="V57" i="1" s="1"/>
  <c r="W69" i="1"/>
  <c r="Y65" i="1"/>
  <c r="AA65" i="1" s="1"/>
  <c r="U42" i="1"/>
  <c r="V42" i="1" s="1"/>
  <c r="C25" i="1"/>
  <c r="C24" i="1"/>
  <c r="C23" i="1"/>
  <c r="C22" i="1"/>
  <c r="C21" i="1"/>
  <c r="AA20" i="1"/>
  <c r="S23" i="1" s="1"/>
  <c r="C20" i="1"/>
  <c r="T3" i="1"/>
  <c r="X20" i="1"/>
  <c r="U20" i="1"/>
  <c r="S3" i="1"/>
  <c r="T8" i="1"/>
  <c r="X25" i="1"/>
  <c r="U25" i="1"/>
  <c r="S8" i="1"/>
  <c r="T7" i="1"/>
  <c r="X24" i="1"/>
  <c r="U24" i="1"/>
  <c r="S7" i="1"/>
  <c r="T6" i="1"/>
  <c r="X23" i="1"/>
  <c r="U23" i="1"/>
  <c r="S6" i="1"/>
  <c r="T5" i="1"/>
  <c r="X22" i="1"/>
  <c r="U22" i="1"/>
  <c r="S5" i="1"/>
  <c r="T4" i="1"/>
  <c r="X21" i="1"/>
  <c r="U21" i="1"/>
  <c r="S4" i="1"/>
  <c r="Y3" i="1"/>
  <c r="Y8" i="1"/>
  <c r="I17" i="1"/>
  <c r="Y7" i="1"/>
  <c r="I16" i="1"/>
  <c r="Y6" i="1"/>
  <c r="I15" i="1"/>
  <c r="Y5" i="1"/>
  <c r="I14" i="1"/>
  <c r="Y4" i="1"/>
  <c r="I13" i="1"/>
  <c r="Q117" i="2" l="1"/>
  <c r="I47" i="2"/>
  <c r="R10" i="2"/>
  <c r="O45" i="2" s="1"/>
  <c r="B38" i="2"/>
  <c r="D169" i="2"/>
  <c r="H166" i="2" s="1"/>
  <c r="C38" i="2"/>
  <c r="D38" i="2"/>
  <c r="U74" i="1"/>
  <c r="S74" i="1"/>
  <c r="AA51" i="1"/>
  <c r="U3" i="1"/>
  <c r="Z20" i="1"/>
  <c r="D20" i="1" s="1"/>
  <c r="F20" i="1" s="1"/>
  <c r="T12" i="1"/>
  <c r="F32" i="2" l="1"/>
  <c r="F31" i="2"/>
  <c r="F30" i="2"/>
  <c r="F29" i="2"/>
  <c r="F28" i="2"/>
  <c r="F27" i="2"/>
  <c r="L27" i="2" s="1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O159" i="2"/>
  <c r="H177" i="2" s="1"/>
  <c r="O160" i="2"/>
  <c r="O161" i="2"/>
  <c r="O162" i="2"/>
  <c r="O163" i="2"/>
  <c r="U64" i="1"/>
  <c r="D23" i="1"/>
  <c r="F23" i="1" s="1"/>
  <c r="D24" i="1"/>
  <c r="D22" i="1"/>
  <c r="F22" i="1" s="1"/>
  <c r="D25" i="1"/>
  <c r="E25" i="1" s="1"/>
  <c r="D21" i="1"/>
  <c r="T20" i="1" s="1"/>
  <c r="E24" i="1"/>
  <c r="F24" i="1"/>
  <c r="E23" i="1"/>
  <c r="E20" i="1"/>
  <c r="V12" i="1"/>
  <c r="U12" i="1"/>
  <c r="J27" i="2" l="1"/>
  <c r="N27" i="2"/>
  <c r="J28" i="2"/>
  <c r="N28" i="2"/>
  <c r="J29" i="2"/>
  <c r="N29" i="2"/>
  <c r="J30" i="2"/>
  <c r="N30" i="2"/>
  <c r="J31" i="2"/>
  <c r="N31" i="2"/>
  <c r="J32" i="2"/>
  <c r="N32" i="2"/>
  <c r="I66" i="1"/>
  <c r="I67" i="1"/>
  <c r="I68" i="1"/>
  <c r="M64" i="1"/>
  <c r="I64" i="1"/>
  <c r="W86" i="1" s="1"/>
  <c r="I65" i="1"/>
  <c r="E22" i="1"/>
  <c r="F25" i="1"/>
  <c r="F21" i="1"/>
  <c r="E21" i="1"/>
  <c r="L30" i="2" l="1"/>
  <c r="N38" i="2"/>
  <c r="S20" i="1"/>
  <c r="D27" i="1"/>
  <c r="N33" i="2" l="1"/>
  <c r="H27" i="2" s="1"/>
  <c r="K47" i="2" s="1"/>
  <c r="S26" i="1"/>
  <c r="I21" i="1"/>
  <c r="B31" i="1" s="1"/>
  <c r="I20" i="1"/>
  <c r="B30" i="1" s="1"/>
  <c r="I25" i="1"/>
  <c r="B35" i="1" s="1"/>
  <c r="I24" i="1"/>
  <c r="B34" i="1" s="1"/>
  <c r="I23" i="1"/>
  <c r="B33" i="1" s="1"/>
  <c r="I22" i="1"/>
  <c r="B32" i="1" s="1"/>
  <c r="H32" i="2" l="1"/>
  <c r="K52" i="2" s="1"/>
  <c r="H31" i="2"/>
  <c r="K51" i="2" s="1"/>
  <c r="H30" i="2"/>
  <c r="K50" i="2" s="1"/>
  <c r="H29" i="2"/>
  <c r="K49" i="2" s="1"/>
  <c r="H28" i="2"/>
  <c r="K48" i="2" s="1"/>
  <c r="D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<sst xmlns="http://schemas.openxmlformats.org/spreadsheetml/2006/main" count="175" uniqueCount="91">
  <si>
    <t>1/r^2</t>
  </si>
  <si>
    <t>R (m)</t>
  </si>
  <si>
    <t>Angolo</t>
  </si>
  <si>
    <t>media</t>
  </si>
  <si>
    <t>MEDIA'2</t>
  </si>
  <si>
    <t>media deviazione std</t>
  </si>
  <si>
    <t>MEDIA DEVST no sense</t>
  </si>
  <si>
    <t>devst.c excel (correz bessel n=n-1)</t>
  </si>
  <si>
    <t>devst.p excel</t>
  </si>
  <si>
    <t>prod x*y</t>
  </si>
  <si>
    <t>dev std^2</t>
  </si>
  <si>
    <t>Ln(media)</t>
  </si>
  <si>
    <t>Ln(R)</t>
  </si>
  <si>
    <t>ln(1/r^2)</t>
  </si>
  <si>
    <t>delta</t>
  </si>
  <si>
    <t>t. noto</t>
  </si>
  <si>
    <t xml:space="preserve">coeffic x </t>
  </si>
  <si>
    <t>RETTA:</t>
  </si>
  <si>
    <t>https://userswww.pd.infn.it/~scarlass/fisica1_ing/laboratorio/Interpolazione.pdf</t>
  </si>
  <si>
    <t>-</t>
  </si>
  <si>
    <t>y=-66,9811x+11,58268</t>
  </si>
  <si>
    <t>-----&gt;</t>
  </si>
  <si>
    <t>http://webusers.fis.uniroma3.it/liquidsgroup/didattica/Analisi%20dei%20dati/chiquadro.pdf</t>
  </si>
  <si>
    <t>x (angolo)</t>
  </si>
  <si>
    <t>y (distanza 1/r^2)</t>
  </si>
  <si>
    <t>epsilon=x-xmed</t>
  </si>
  <si>
    <t>y*epsilon</t>
  </si>
  <si>
    <t>quinta colonna</t>
  </si>
  <si>
    <t>yteo</t>
  </si>
  <si>
    <t>y*E medio</t>
  </si>
  <si>
    <t>epsilon media</t>
  </si>
  <si>
    <t>ANGOLO*Y</t>
  </si>
  <si>
    <t>1/DEV^2</t>
  </si>
  <si>
    <t>PRODOTTO</t>
  </si>
  <si>
    <t>x medio</t>
  </si>
  <si>
    <t>y medio</t>
  </si>
  <si>
    <t>b</t>
  </si>
  <si>
    <t>a</t>
  </si>
  <si>
    <t>epsilon ^2 medio</t>
  </si>
  <si>
    <t>(yi-yto)^2</t>
  </si>
  <si>
    <t>chiq biscia</t>
  </si>
  <si>
    <t>dev</t>
  </si>
  <si>
    <t xml:space="preserve">V1 = V2(Volt) </t>
  </si>
  <si>
    <t>θ (deg)</t>
  </si>
  <si>
    <t>angolo medio</t>
  </si>
  <si>
    <t>devst ang</t>
  </si>
  <si>
    <t>dev forza</t>
  </si>
  <si>
    <t>NUMERATORE</t>
  </si>
  <si>
    <t>DETERMINATORE</t>
  </si>
  <si>
    <t>num best</t>
  </si>
  <si>
    <t>det best</t>
  </si>
  <si>
    <t>errore cost dielettrica</t>
  </si>
  <si>
    <t>Dist sfere</t>
  </si>
  <si>
    <t>Forza Elastica</t>
  </si>
  <si>
    <t>COST dielettrica</t>
  </si>
  <si>
    <t>raggio sfere</t>
  </si>
  <si>
    <t>v1</t>
  </si>
  <si>
    <t>v2</t>
  </si>
  <si>
    <t>media ang</t>
  </si>
  <si>
    <t>MEDIA COSTANTE DIELETTRICA</t>
  </si>
  <si>
    <t>tabella 4 parte 3</t>
  </si>
  <si>
    <t>fpeso</t>
  </si>
  <si>
    <t>mg</t>
  </si>
  <si>
    <t>angolo</t>
  </si>
  <si>
    <t>x ideale</t>
  </si>
  <si>
    <t>m</t>
  </si>
  <si>
    <t>media angolo</t>
  </si>
  <si>
    <t>devst forza</t>
  </si>
  <si>
    <t>media radianti</t>
  </si>
  <si>
    <t>dev st</t>
  </si>
  <si>
    <t>dev st forza</t>
  </si>
  <si>
    <t>dest angolo</t>
  </si>
  <si>
    <t>Ktorque</t>
  </si>
  <si>
    <t>dev st k</t>
  </si>
  <si>
    <t>v1*v2/r2</t>
  </si>
  <si>
    <t>f coulomb</t>
  </si>
  <si>
    <t>fcoulomb2</t>
  </si>
  <si>
    <t>C</t>
  </si>
  <si>
    <t>f = kang</t>
  </si>
  <si>
    <t>devst</t>
  </si>
  <si>
    <t>sommatoria</t>
  </si>
  <si>
    <t>sigma y</t>
  </si>
  <si>
    <t>sigma x</t>
  </si>
  <si>
    <t>devstandard forza</t>
  </si>
  <si>
    <t>PROPAGAZIOINE ERRORE</t>
  </si>
  <si>
    <t>ang^2</t>
  </si>
  <si>
    <t>errore sul angolo</t>
  </si>
  <si>
    <t>errore sul volt</t>
  </si>
  <si>
    <t>DENOMINATORE</t>
  </si>
  <si>
    <t>BILANCIA DI COULOMB</t>
  </si>
  <si>
    <t xml:space="preserve">MEDIA DEVST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</si>
</sst>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D966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C65911"/>
      </left>
      <right style="medium">
        <color rgb="FFC65911"/>
      </right>
      <top/>
      <bottom/>
      <diagonal/>
    </border>
    <border>
      <left style="medium">
        <color rgb="FFC65911"/>
      </left>
      <right style="medium">
        <color rgb="FFC65911"/>
      </right>
      <top/>
      <bottom style="medium">
        <color rgb="FFC65911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C65911"/>
      </left>
      <right/>
      <top style="medium">
        <color rgb="FFC65911"/>
      </top>
      <bottom/>
      <diagonal/>
    </border>
    <border>
      <left/>
      <right/>
      <top style="medium">
        <color rgb="FFC65911"/>
      </top>
      <bottom/>
      <diagonal/>
    </border>
    <border>
      <left/>
      <right style="medium">
        <color rgb="FFC65911"/>
      </right>
      <top style="medium">
        <color rgb="FFC65911"/>
      </top>
      <bottom/>
      <diagonal/>
    </border>
    <border>
      <left style="medium">
        <color rgb="FFC65911"/>
      </left>
      <right/>
      <top/>
      <bottom/>
      <diagonal/>
    </border>
    <border>
      <left/>
      <right style="medium">
        <color rgb="FFC65911"/>
      </right>
      <top/>
      <bottom/>
      <diagonal/>
    </border>
    <border>
      <left style="medium">
        <color rgb="FFC65911"/>
      </left>
      <right/>
      <top/>
      <bottom style="medium">
        <color rgb="FFC65911"/>
      </bottom>
      <diagonal/>
    </border>
    <border>
      <left/>
      <right/>
      <top/>
      <bottom style="medium">
        <color rgb="FFC65911"/>
      </bottom>
      <diagonal/>
    </border>
    <border>
      <left/>
      <right style="medium">
        <color rgb="FFC65911"/>
      </right>
      <top/>
      <bottom style="medium">
        <color rgb="FFC6591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0" borderId="0" xfId="0" applyBorder="1"/>
    <xf numFmtId="0" fontId="3" fillId="0" borderId="0" xfId="0" applyFont="1" applyBorder="1" applyAlignment="1">
      <alignment wrapText="1"/>
    </xf>
    <xf numFmtId="0" fontId="4" fillId="0" borderId="0" xfId="1"/>
    <xf numFmtId="0" fontId="5" fillId="0" borderId="0" xfId="0" applyFont="1"/>
    <xf numFmtId="0" fontId="0" fillId="2" borderId="0" xfId="0" applyFill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4" borderId="0" xfId="0" applyFill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5" borderId="0" xfId="0" applyFont="1" applyFill="1"/>
    <xf numFmtId="0" fontId="0" fillId="3" borderId="0" xfId="0" applyFill="1" applyBorder="1"/>
    <xf numFmtId="0" fontId="0" fillId="0" borderId="17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Fill="1" applyBorder="1"/>
    <xf numFmtId="0" fontId="1" fillId="0" borderId="20" xfId="0" applyFont="1" applyFill="1" applyBorder="1" applyAlignment="1">
      <alignment wrapText="1"/>
    </xf>
    <xf numFmtId="0" fontId="1" fillId="0" borderId="22" xfId="0" applyFont="1" applyFill="1" applyBorder="1" applyAlignment="1">
      <alignment wrapText="1"/>
    </xf>
    <xf numFmtId="0" fontId="1" fillId="0" borderId="23" xfId="0" applyFont="1" applyFill="1" applyBorder="1" applyAlignment="1">
      <alignment wrapText="1"/>
    </xf>
    <xf numFmtId="0" fontId="1" fillId="0" borderId="17" xfId="0" applyFont="1" applyFill="1" applyBorder="1" applyAlignment="1">
      <alignment wrapText="1"/>
    </xf>
    <xf numFmtId="0" fontId="1" fillId="0" borderId="18" xfId="0" applyFont="1" applyFill="1" applyBorder="1" applyAlignment="1">
      <alignment wrapText="1"/>
    </xf>
    <xf numFmtId="0" fontId="5" fillId="0" borderId="0" xfId="0" applyFont="1" applyAlignment="1">
      <alignment horizontal="left" indent="1"/>
    </xf>
    <xf numFmtId="0" fontId="0" fillId="0" borderId="26" xfId="0" applyBorder="1"/>
    <xf numFmtId="0" fontId="0" fillId="0" borderId="27" xfId="0" applyBorder="1"/>
    <xf numFmtId="0" fontId="0" fillId="0" borderId="30" xfId="0" applyFill="1" applyBorder="1"/>
    <xf numFmtId="0" fontId="0" fillId="0" borderId="31" xfId="0" applyFill="1" applyBorder="1"/>
    <xf numFmtId="0" fontId="0" fillId="0" borderId="32" xfId="0" applyFill="1" applyBorder="1"/>
    <xf numFmtId="0" fontId="0" fillId="0" borderId="33" xfId="0" applyFill="1" applyBorder="1"/>
    <xf numFmtId="0" fontId="5" fillId="0" borderId="28" xfId="0" applyFont="1" applyFill="1" applyBorder="1"/>
    <xf numFmtId="0" fontId="5" fillId="0" borderId="29" xfId="0" applyFont="1" applyFill="1" applyBorder="1"/>
    <xf numFmtId="0" fontId="5" fillId="0" borderId="25" xfId="0" applyFont="1" applyBorder="1"/>
    <xf numFmtId="0" fontId="5" fillId="2" borderId="0" xfId="0" applyFont="1" applyFill="1"/>
    <xf numFmtId="0" fontId="5" fillId="0" borderId="0" xfId="0" applyFont="1" applyFill="1"/>
    <xf numFmtId="0" fontId="5" fillId="0" borderId="34" xfId="0" applyFont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2" xfId="0" applyFont="1" applyFill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5" fillId="0" borderId="35" xfId="0" applyFont="1" applyFill="1" applyBorder="1"/>
    <xf numFmtId="0" fontId="0" fillId="0" borderId="36" xfId="0" applyFill="1" applyBorder="1"/>
    <xf numFmtId="0" fontId="5" fillId="0" borderId="36" xfId="0" applyFont="1" applyFill="1" applyBorder="1" applyAlignment="1">
      <alignment horizontal="center"/>
    </xf>
    <xf numFmtId="0" fontId="5" fillId="0" borderId="37" xfId="0" applyFont="1" applyFill="1" applyBorder="1"/>
    <xf numFmtId="0" fontId="0" fillId="0" borderId="38" xfId="0" applyFill="1" applyBorder="1"/>
    <xf numFmtId="0" fontId="0" fillId="0" borderId="39" xfId="0" applyFill="1" applyBorder="1"/>
    <xf numFmtId="0" fontId="5" fillId="0" borderId="38" xfId="0" applyFont="1" applyFill="1" applyBorder="1"/>
    <xf numFmtId="0" fontId="5" fillId="0" borderId="39" xfId="0" applyFont="1" applyFill="1" applyBorder="1"/>
    <xf numFmtId="0" fontId="0" fillId="0" borderId="40" xfId="0" applyFill="1" applyBorder="1"/>
    <xf numFmtId="0" fontId="0" fillId="0" borderId="41" xfId="0" applyFill="1" applyBorder="1"/>
    <xf numFmtId="0" fontId="0" fillId="0" borderId="42" xfId="0" applyFill="1" applyBorder="1"/>
    <xf numFmtId="0" fontId="5" fillId="0" borderId="0" xfId="0" applyFont="1" applyAlignment="1">
      <alignment wrapText="1"/>
    </xf>
    <xf numFmtId="0" fontId="8" fillId="5" borderId="0" xfId="0" applyFont="1" applyFill="1"/>
    <xf numFmtId="0" fontId="5" fillId="0" borderId="5" xfId="0" applyFont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6" borderId="0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Foglio1!$D$11</c:f>
              <c:strCache>
                <c:ptCount val="1"/>
                <c:pt idx="0">
                  <c:v>R (m)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Foglio1!$C$12:$C$17</c:f>
              <c:numCache>
                <c:formatCode>General</c:formatCode>
                <c:ptCount val="6"/>
                <c:pt idx="0">
                  <c:v>57.2</c:v>
                </c:pt>
                <c:pt idx="1">
                  <c:v>29.8</c:v>
                </c:pt>
                <c:pt idx="2">
                  <c:v>15.4</c:v>
                </c:pt>
                <c:pt idx="3">
                  <c:v>8</c:v>
                </c:pt>
                <c:pt idx="4">
                  <c:v>5</c:v>
                </c:pt>
                <c:pt idx="5">
                  <c:v>4.5999999999999996</c:v>
                </c:pt>
              </c:numCache>
            </c:numRef>
          </c:xVal>
          <c:yVal>
            <c:numRef>
              <c:f>Foglio1!$D$12:$D$17</c:f>
              <c:numCache>
                <c:formatCode>General</c:formatCode>
                <c:ptCount val="6"/>
                <c:pt idx="0">
                  <c:v>0.04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0.13</c:v>
                </c:pt>
                <c:pt idx="4">
                  <c:v>0.16</c:v>
                </c:pt>
                <c:pt idx="5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81-4BC7-AA9F-88BFBB2D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902007"/>
        <c:axId val="926509159"/>
      </c:scatterChart>
      <c:valAx>
        <c:axId val="98490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09159"/>
        <c:crosses val="autoZero"/>
        <c:crossBetween val="midCat"/>
      </c:valAx>
      <c:valAx>
        <c:axId val="92650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02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1/r^2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y=11,582x - 66,981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Foglio1!$I$3:$I$8</c:f>
              <c:numCache>
                <c:formatCode>General</c:formatCode>
                <c:ptCount val="6"/>
                <c:pt idx="0">
                  <c:v>57.2</c:v>
                </c:pt>
                <c:pt idx="1">
                  <c:v>29.8</c:v>
                </c:pt>
                <c:pt idx="2">
                  <c:v>15.4</c:v>
                </c:pt>
                <c:pt idx="3">
                  <c:v>8</c:v>
                </c:pt>
                <c:pt idx="4">
                  <c:v>5</c:v>
                </c:pt>
                <c:pt idx="5">
                  <c:v>4.5999999999999996</c:v>
                </c:pt>
              </c:numCache>
            </c:numRef>
          </c:xVal>
          <c:yVal>
            <c:numRef>
              <c:f>Foglio1!$A$3:$A$8</c:f>
              <c:numCache>
                <c:formatCode>General</c:formatCode>
                <c:ptCount val="6"/>
                <c:pt idx="0">
                  <c:v>625</c:v>
                </c:pt>
                <c:pt idx="1">
                  <c:v>204.08163265306121</c:v>
                </c:pt>
                <c:pt idx="2">
                  <c:v>99.999999999999986</c:v>
                </c:pt>
                <c:pt idx="3">
                  <c:v>59.171597633136088</c:v>
                </c:pt>
                <c:pt idx="4">
                  <c:v>39.0625</c:v>
                </c:pt>
                <c:pt idx="5">
                  <c:v>27.700831024930746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9-47CA-B2BD-8FA0BA07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765920"/>
        <c:axId val="434771328"/>
      </c:scatterChart>
      <c:valAx>
        <c:axId val="43476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71328"/>
        <c:crosses val="autoZero"/>
        <c:crossBetween val="midCat"/>
      </c:valAx>
      <c:valAx>
        <c:axId val="4347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6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Foglio1!$H$11</c:f>
              <c:strCache>
                <c:ptCount val="1"/>
                <c:pt idx="0">
                  <c:v>Ln(R)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Foglio1!$G$12:$G$17</c:f>
              <c:numCache>
                <c:formatCode>General</c:formatCode>
                <c:ptCount val="6"/>
                <c:pt idx="0">
                  <c:v>4.0465538983857519</c:v>
                </c:pt>
                <c:pt idx="1">
                  <c:v>3.3945083935113587</c:v>
                </c:pt>
                <c:pt idx="2">
                  <c:v>2.7343675094195836</c:v>
                </c:pt>
                <c:pt idx="3">
                  <c:v>2.0794415416798357</c:v>
                </c:pt>
                <c:pt idx="4">
                  <c:v>1.6094379124341003</c:v>
                </c:pt>
                <c:pt idx="5">
                  <c:v>1.5260563034950492</c:v>
                </c:pt>
              </c:numCache>
            </c:numRef>
          </c:xVal>
          <c:yVal>
            <c:numRef>
              <c:f>Foglio1!$H$12:$H$17</c:f>
              <c:numCache>
                <c:formatCode>General</c:formatCode>
                <c:ptCount val="6"/>
                <c:pt idx="0">
                  <c:v>-3.2188758248682006</c:v>
                </c:pt>
                <c:pt idx="1">
                  <c:v>-2.6592600369327779</c:v>
                </c:pt>
                <c:pt idx="2">
                  <c:v>-2.3025850929940455</c:v>
                </c:pt>
                <c:pt idx="3">
                  <c:v>-2.0402208285265546</c:v>
                </c:pt>
                <c:pt idx="4">
                  <c:v>-1.8325814637483102</c:v>
                </c:pt>
                <c:pt idx="5">
                  <c:v>-1.6607312068216509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A-41A8-9BB9-D9717BCA5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266871"/>
        <c:axId val="66313096"/>
      </c:scatterChart>
      <c:valAx>
        <c:axId val="1763266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3096"/>
        <c:crosses val="autoZero"/>
        <c:crossBetween val="midCat"/>
      </c:valAx>
      <c:valAx>
        <c:axId val="663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66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ln(1/r^2)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Foglio1!$G$12:$G$17</c:f>
              <c:numCache>
                <c:formatCode>General</c:formatCode>
                <c:ptCount val="6"/>
                <c:pt idx="0">
                  <c:v>4.0465538983857519</c:v>
                </c:pt>
                <c:pt idx="1">
                  <c:v>3.3945083935113587</c:v>
                </c:pt>
                <c:pt idx="2">
                  <c:v>2.7343675094195836</c:v>
                </c:pt>
                <c:pt idx="3">
                  <c:v>2.0794415416798357</c:v>
                </c:pt>
                <c:pt idx="4">
                  <c:v>1.6094379124341003</c:v>
                </c:pt>
                <c:pt idx="5">
                  <c:v>1.5260563034950492</c:v>
                </c:pt>
              </c:numCache>
            </c:numRef>
          </c:xVal>
          <c:yVal>
            <c:numRef>
              <c:f>Foglio1!$I$12:$I$17</c:f>
              <c:numCache>
                <c:formatCode>General</c:formatCode>
                <c:ptCount val="6"/>
                <c:pt idx="0">
                  <c:v>0</c:v>
                </c:pt>
                <c:pt idx="1">
                  <c:v>5.3185200738655558</c:v>
                </c:pt>
                <c:pt idx="2">
                  <c:v>4.6051701859880909</c:v>
                </c:pt>
                <c:pt idx="3">
                  <c:v>4.0804416570531092</c:v>
                </c:pt>
                <c:pt idx="4">
                  <c:v>3.6651629274966204</c:v>
                </c:pt>
                <c:pt idx="5">
                  <c:v>3.3214624136433017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C-4B26-B515-AD4E0D23C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767168"/>
        <c:axId val="434768000"/>
      </c:scatterChart>
      <c:valAx>
        <c:axId val="43476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68000"/>
        <c:crosses val="autoZero"/>
        <c:crossBetween val="midCat"/>
      </c:valAx>
      <c:valAx>
        <c:axId val="4347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6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Foglio1!$S$39:$S$47</c:f>
              <c:numCache>
                <c:formatCode>General</c:formatCode>
                <c:ptCount val="9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</c:numCache>
            </c:numRef>
          </c:xVal>
          <c:yVal>
            <c:numRef>
              <c:f>Foglio1!$I$39:$I$47</c:f>
              <c:numCache>
                <c:formatCode>General</c:formatCode>
                <c:ptCount val="9"/>
                <c:pt idx="0">
                  <c:v>2.6</c:v>
                </c:pt>
                <c:pt idx="1">
                  <c:v>4.2</c:v>
                </c:pt>
                <c:pt idx="2">
                  <c:v>6.2</c:v>
                </c:pt>
                <c:pt idx="3">
                  <c:v>8.1999999999999993</c:v>
                </c:pt>
                <c:pt idx="4">
                  <c:v>11</c:v>
                </c:pt>
                <c:pt idx="5">
                  <c:v>13</c:v>
                </c:pt>
                <c:pt idx="6">
                  <c:v>16.2</c:v>
                </c:pt>
                <c:pt idx="7">
                  <c:v>19.600000000000001</c:v>
                </c:pt>
                <c:pt idx="8">
                  <c:v>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3-4A9A-8497-2823B49C7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087352"/>
        <c:axId val="8268618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Foglio1!$I$39:$I$47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2.6</c:v>
                      </c:pt>
                      <c:pt idx="1">
                        <c:v>4.2</c:v>
                      </c:pt>
                      <c:pt idx="2">
                        <c:v>6.2</c:v>
                      </c:pt>
                      <c:pt idx="3">
                        <c:v>8.1999999999999993</c:v>
                      </c:pt>
                      <c:pt idx="4">
                        <c:v>11</c:v>
                      </c:pt>
                      <c:pt idx="5">
                        <c:v>13</c:v>
                      </c:pt>
                      <c:pt idx="6">
                        <c:v>16.2</c:v>
                      </c:pt>
                      <c:pt idx="7">
                        <c:v>19.600000000000001</c:v>
                      </c:pt>
                      <c:pt idx="8">
                        <c:v>23.6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Foglio1!$S$39:$S$47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2000</c:v>
                      </c:pt>
                      <c:pt idx="1">
                        <c:v>2500</c:v>
                      </c:pt>
                      <c:pt idx="2">
                        <c:v>3000</c:v>
                      </c:pt>
                      <c:pt idx="3">
                        <c:v>3500</c:v>
                      </c:pt>
                      <c:pt idx="4">
                        <c:v>4000</c:v>
                      </c:pt>
                      <c:pt idx="5">
                        <c:v>4500</c:v>
                      </c:pt>
                      <c:pt idx="6">
                        <c:v>5000</c:v>
                      </c:pt>
                      <c:pt idx="7">
                        <c:v>5500</c:v>
                      </c:pt>
                      <c:pt idx="8">
                        <c:v>6000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B79-4D18-969A-0D6FB6BF8606}"/>
                  </c:ext>
                </c:extLst>
              </c15:ser>
            </c15:filteredScatterSeries>
          </c:ext>
        </c:extLst>
      </c:scatterChart>
      <c:valAx>
        <c:axId val="97308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61831"/>
        <c:crosses val="autoZero"/>
        <c:crossBetween val="midCat"/>
      </c:valAx>
      <c:valAx>
        <c:axId val="82686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87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Foglio1!$G$64:$G$68</c:f>
              <c:numCache>
                <c:formatCode>General</c:formatCode>
                <c:ptCount val="5"/>
                <c:pt idx="0">
                  <c:v>2.038735983690112</c:v>
                </c:pt>
                <c:pt idx="1">
                  <c:v>4.077471967380224</c:v>
                </c:pt>
                <c:pt idx="2">
                  <c:v>5.0968399592252798</c:v>
                </c:pt>
                <c:pt idx="3">
                  <c:v>7.1355759429153922</c:v>
                </c:pt>
                <c:pt idx="4">
                  <c:v>9.1743119266055047</c:v>
                </c:pt>
              </c:numCache>
            </c:numRef>
          </c:xVal>
          <c:yVal>
            <c:numRef>
              <c:f>Foglio1!$H$64:$H$68</c:f>
              <c:numCache>
                <c:formatCode>General</c:formatCode>
                <c:ptCount val="5"/>
                <c:pt idx="0">
                  <c:v>23</c:v>
                </c:pt>
                <c:pt idx="1">
                  <c:v>49</c:v>
                </c:pt>
                <c:pt idx="2">
                  <c:v>54</c:v>
                </c:pt>
                <c:pt idx="3">
                  <c:v>72.666666666666671</c:v>
                </c:pt>
                <c:pt idx="4">
                  <c:v>114.33333333333333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1-43CB-B24F-68A7D2BE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123128"/>
        <c:axId val="826971127"/>
      </c:scatterChart>
      <c:valAx>
        <c:axId val="97312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71127"/>
        <c:crosses val="autoZero"/>
        <c:crossBetween val="midCat"/>
      </c:valAx>
      <c:valAx>
        <c:axId val="82697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23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Foglio1!$H$64:$H$68</c:f>
              <c:numCache>
                <c:formatCode>General</c:formatCode>
                <c:ptCount val="5"/>
                <c:pt idx="0">
                  <c:v>23</c:v>
                </c:pt>
                <c:pt idx="1">
                  <c:v>49</c:v>
                </c:pt>
                <c:pt idx="2">
                  <c:v>54</c:v>
                </c:pt>
                <c:pt idx="3">
                  <c:v>72.666666666666671</c:v>
                </c:pt>
                <c:pt idx="4">
                  <c:v>114.33333333333333</c:v>
                </c:pt>
              </c:numCache>
            </c:numRef>
          </c:xVal>
          <c:yVal>
            <c:numRef>
              <c:f>Foglio1!$A$64:$A$68</c:f>
              <c:numCache>
                <c:formatCode>General</c:formatCode>
                <c:ptCount val="5"/>
                <c:pt idx="0">
                  <c:v>1.9620000000000003E-4</c:v>
                </c:pt>
                <c:pt idx="1">
                  <c:v>3.9240000000000005E-4</c:v>
                </c:pt>
                <c:pt idx="2">
                  <c:v>4.9050000000000005E-4</c:v>
                </c:pt>
                <c:pt idx="3">
                  <c:v>6.8670000000000005E-4</c:v>
                </c:pt>
                <c:pt idx="4">
                  <c:v>8.8290000000000005E-4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7-4BE0-B992-3BF588A23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676000"/>
        <c:axId val="1385678496"/>
      </c:scatterChart>
      <c:valAx>
        <c:axId val="13856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8496"/>
        <c:crosses val="autoZero"/>
        <c:crossBetween val="midCat"/>
      </c:valAx>
      <c:valAx>
        <c:axId val="1385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Foglio1!$H$64:$H$68</c:f>
              <c:numCache>
                <c:formatCode>General</c:formatCode>
                <c:ptCount val="5"/>
                <c:pt idx="0">
                  <c:v>23</c:v>
                </c:pt>
                <c:pt idx="1">
                  <c:v>49</c:v>
                </c:pt>
                <c:pt idx="2">
                  <c:v>54</c:v>
                </c:pt>
                <c:pt idx="3">
                  <c:v>72.666666666666671</c:v>
                </c:pt>
                <c:pt idx="4">
                  <c:v>114.33333333333333</c:v>
                </c:pt>
              </c:numCache>
            </c:numRef>
          </c:xVal>
          <c:yVal>
            <c:numRef>
              <c:f>Foglio1!$A$64:$A$68</c:f>
              <c:numCache>
                <c:formatCode>General</c:formatCode>
                <c:ptCount val="5"/>
                <c:pt idx="0">
                  <c:v>1.9620000000000003E-4</c:v>
                </c:pt>
                <c:pt idx="1">
                  <c:v>3.9240000000000005E-4</c:v>
                </c:pt>
                <c:pt idx="2">
                  <c:v>4.9050000000000005E-4</c:v>
                </c:pt>
                <c:pt idx="3">
                  <c:v>6.8670000000000005E-4</c:v>
                </c:pt>
                <c:pt idx="4">
                  <c:v>8.8290000000000005E-4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2-46E1-952D-A64B8FA14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676000"/>
        <c:axId val="1385678496"/>
      </c:scatterChart>
      <c:valAx>
        <c:axId val="13856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8496"/>
        <c:crosses val="autoZero"/>
        <c:crossBetween val="midCat"/>
      </c:valAx>
      <c:valAx>
        <c:axId val="1385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Foglio1!$D$11</c:f>
              <c:strCache>
                <c:ptCount val="1"/>
                <c:pt idx="0">
                  <c:v>R (m)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Foglio1!$C$12:$C$17</c:f>
              <c:numCache>
                <c:formatCode>General</c:formatCode>
                <c:ptCount val="6"/>
                <c:pt idx="0">
                  <c:v>57.2</c:v>
                </c:pt>
                <c:pt idx="1">
                  <c:v>29.8</c:v>
                </c:pt>
                <c:pt idx="2">
                  <c:v>15.4</c:v>
                </c:pt>
                <c:pt idx="3">
                  <c:v>8</c:v>
                </c:pt>
                <c:pt idx="4">
                  <c:v>5</c:v>
                </c:pt>
                <c:pt idx="5">
                  <c:v>4.5999999999999996</c:v>
                </c:pt>
              </c:numCache>
            </c:numRef>
          </c:xVal>
          <c:yVal>
            <c:numRef>
              <c:f>Foglio1!$D$12:$D$17</c:f>
              <c:numCache>
                <c:formatCode>General</c:formatCode>
                <c:ptCount val="6"/>
                <c:pt idx="0">
                  <c:v>0.04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0.13</c:v>
                </c:pt>
                <c:pt idx="4">
                  <c:v>0.16</c:v>
                </c:pt>
                <c:pt idx="5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0D-4D69-B4C4-E35ECCFC9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902007"/>
        <c:axId val="926509159"/>
      </c:scatterChart>
      <c:valAx>
        <c:axId val="98490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09159"/>
        <c:crosses val="autoZero"/>
        <c:crossBetween val="midCat"/>
      </c:valAx>
      <c:valAx>
        <c:axId val="92650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02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1/r^2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y=11,582x - 66,981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Foglio1!$I$3:$I$8</c:f>
              <c:numCache>
                <c:formatCode>General</c:formatCode>
                <c:ptCount val="6"/>
                <c:pt idx="0">
                  <c:v>57.2</c:v>
                </c:pt>
                <c:pt idx="1">
                  <c:v>29.8</c:v>
                </c:pt>
                <c:pt idx="2">
                  <c:v>15.4</c:v>
                </c:pt>
                <c:pt idx="3">
                  <c:v>8</c:v>
                </c:pt>
                <c:pt idx="4">
                  <c:v>5</c:v>
                </c:pt>
                <c:pt idx="5">
                  <c:v>4.5999999999999996</c:v>
                </c:pt>
              </c:numCache>
            </c:numRef>
          </c:xVal>
          <c:yVal>
            <c:numRef>
              <c:f>Foglio1!$A$3:$A$8</c:f>
              <c:numCache>
                <c:formatCode>General</c:formatCode>
                <c:ptCount val="6"/>
                <c:pt idx="0">
                  <c:v>625</c:v>
                </c:pt>
                <c:pt idx="1">
                  <c:v>204.08163265306121</c:v>
                </c:pt>
                <c:pt idx="2">
                  <c:v>99.999999999999986</c:v>
                </c:pt>
                <c:pt idx="3">
                  <c:v>59.171597633136088</c:v>
                </c:pt>
                <c:pt idx="4">
                  <c:v>39.0625</c:v>
                </c:pt>
                <c:pt idx="5">
                  <c:v>27.700831024930746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1-4E7C-A0FF-B1C237B0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765920"/>
        <c:axId val="434771328"/>
      </c:scatterChart>
      <c:valAx>
        <c:axId val="43476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71328"/>
        <c:crosses val="autoZero"/>
        <c:crossBetween val="midCat"/>
      </c:valAx>
      <c:valAx>
        <c:axId val="4347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6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Foglio1!$H$11</c:f>
              <c:strCache>
                <c:ptCount val="1"/>
                <c:pt idx="0">
                  <c:v>Ln(R)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Foglio1!$G$12:$G$17</c:f>
              <c:numCache>
                <c:formatCode>General</c:formatCode>
                <c:ptCount val="6"/>
                <c:pt idx="0">
                  <c:v>4.0465538983857519</c:v>
                </c:pt>
                <c:pt idx="1">
                  <c:v>3.3945083935113587</c:v>
                </c:pt>
                <c:pt idx="2">
                  <c:v>2.7343675094195836</c:v>
                </c:pt>
                <c:pt idx="3">
                  <c:v>2.0794415416798357</c:v>
                </c:pt>
                <c:pt idx="4">
                  <c:v>1.6094379124341003</c:v>
                </c:pt>
                <c:pt idx="5">
                  <c:v>1.5260563034950492</c:v>
                </c:pt>
              </c:numCache>
            </c:numRef>
          </c:xVal>
          <c:yVal>
            <c:numRef>
              <c:f>Foglio1!$H$12:$H$17</c:f>
              <c:numCache>
                <c:formatCode>General</c:formatCode>
                <c:ptCount val="6"/>
                <c:pt idx="0">
                  <c:v>-3.2188758248682006</c:v>
                </c:pt>
                <c:pt idx="1">
                  <c:v>-2.6592600369327779</c:v>
                </c:pt>
                <c:pt idx="2">
                  <c:v>-2.3025850929940455</c:v>
                </c:pt>
                <c:pt idx="3">
                  <c:v>-2.0402208285265546</c:v>
                </c:pt>
                <c:pt idx="4">
                  <c:v>-1.8325814637483102</c:v>
                </c:pt>
                <c:pt idx="5">
                  <c:v>-1.6607312068216509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9-4119-B6B5-E7045809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266871"/>
        <c:axId val="66313096"/>
      </c:scatterChart>
      <c:valAx>
        <c:axId val="1763266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3096"/>
        <c:crosses val="autoZero"/>
        <c:crossBetween val="midCat"/>
      </c:valAx>
      <c:valAx>
        <c:axId val="663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66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ln(1/r^2)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Foglio1!$G$12:$G$17</c:f>
              <c:numCache>
                <c:formatCode>General</c:formatCode>
                <c:ptCount val="6"/>
                <c:pt idx="0">
                  <c:v>4.0465538983857519</c:v>
                </c:pt>
                <c:pt idx="1">
                  <c:v>3.3945083935113587</c:v>
                </c:pt>
                <c:pt idx="2">
                  <c:v>2.7343675094195836</c:v>
                </c:pt>
                <c:pt idx="3">
                  <c:v>2.0794415416798357</c:v>
                </c:pt>
                <c:pt idx="4">
                  <c:v>1.6094379124341003</c:v>
                </c:pt>
                <c:pt idx="5">
                  <c:v>1.5260563034950492</c:v>
                </c:pt>
              </c:numCache>
            </c:numRef>
          </c:xVal>
          <c:yVal>
            <c:numRef>
              <c:f>Foglio1!$I$12:$I$17</c:f>
              <c:numCache>
                <c:formatCode>General</c:formatCode>
                <c:ptCount val="6"/>
                <c:pt idx="0">
                  <c:v>0</c:v>
                </c:pt>
                <c:pt idx="1">
                  <c:v>5.3185200738655558</c:v>
                </c:pt>
                <c:pt idx="2">
                  <c:v>4.6051701859880909</c:v>
                </c:pt>
                <c:pt idx="3">
                  <c:v>4.0804416570531092</c:v>
                </c:pt>
                <c:pt idx="4">
                  <c:v>3.6651629274966204</c:v>
                </c:pt>
                <c:pt idx="5">
                  <c:v>3.3214624136433017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7-40EA-836D-E06A34E5B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767168"/>
        <c:axId val="434768000"/>
      </c:scatterChart>
      <c:valAx>
        <c:axId val="43476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68000"/>
        <c:crosses val="autoZero"/>
        <c:crossBetween val="midCat"/>
      </c:valAx>
      <c:valAx>
        <c:axId val="4347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6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Foglio1!$S$39:$S$47</c:f>
              <c:numCache>
                <c:formatCode>General</c:formatCode>
                <c:ptCount val="9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</c:numCache>
            </c:numRef>
          </c:xVal>
          <c:yVal>
            <c:numRef>
              <c:f>Foglio1!$I$39:$I$47</c:f>
              <c:numCache>
                <c:formatCode>General</c:formatCode>
                <c:ptCount val="9"/>
                <c:pt idx="0">
                  <c:v>2.6</c:v>
                </c:pt>
                <c:pt idx="1">
                  <c:v>4.2</c:v>
                </c:pt>
                <c:pt idx="2">
                  <c:v>6.2</c:v>
                </c:pt>
                <c:pt idx="3">
                  <c:v>8.1999999999999993</c:v>
                </c:pt>
                <c:pt idx="4">
                  <c:v>11</c:v>
                </c:pt>
                <c:pt idx="5">
                  <c:v>13</c:v>
                </c:pt>
                <c:pt idx="6">
                  <c:v>16.2</c:v>
                </c:pt>
                <c:pt idx="7">
                  <c:v>19.600000000000001</c:v>
                </c:pt>
                <c:pt idx="8">
                  <c:v>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6-4CD7-B292-88D79E902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087352"/>
        <c:axId val="8268618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Foglio1!$I$39:$I$47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2.6</c:v>
                      </c:pt>
                      <c:pt idx="1">
                        <c:v>4.2</c:v>
                      </c:pt>
                      <c:pt idx="2">
                        <c:v>6.2</c:v>
                      </c:pt>
                      <c:pt idx="3">
                        <c:v>8.1999999999999993</c:v>
                      </c:pt>
                      <c:pt idx="4">
                        <c:v>11</c:v>
                      </c:pt>
                      <c:pt idx="5">
                        <c:v>13</c:v>
                      </c:pt>
                      <c:pt idx="6">
                        <c:v>16.2</c:v>
                      </c:pt>
                      <c:pt idx="7">
                        <c:v>19.600000000000001</c:v>
                      </c:pt>
                      <c:pt idx="8">
                        <c:v>23.6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Foglio1!$S$39:$S$47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2000</c:v>
                      </c:pt>
                      <c:pt idx="1">
                        <c:v>2500</c:v>
                      </c:pt>
                      <c:pt idx="2">
                        <c:v>3000</c:v>
                      </c:pt>
                      <c:pt idx="3">
                        <c:v>3500</c:v>
                      </c:pt>
                      <c:pt idx="4">
                        <c:v>4000</c:v>
                      </c:pt>
                      <c:pt idx="5">
                        <c:v>4500</c:v>
                      </c:pt>
                      <c:pt idx="6">
                        <c:v>5000</c:v>
                      </c:pt>
                      <c:pt idx="7">
                        <c:v>5500</c:v>
                      </c:pt>
                      <c:pt idx="8">
                        <c:v>6000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96-4CD7-B292-88D79E90205B}"/>
                  </c:ext>
                </c:extLst>
              </c15:ser>
            </c15:filteredScatterSeries>
          </c:ext>
        </c:extLst>
      </c:scatterChart>
      <c:valAx>
        <c:axId val="97308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61831"/>
        <c:crosses val="autoZero"/>
        <c:crossBetween val="midCat"/>
      </c:valAx>
      <c:valAx>
        <c:axId val="82686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87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Foglio1!$G$64:$G$68</c:f>
              <c:numCache>
                <c:formatCode>General</c:formatCode>
                <c:ptCount val="5"/>
                <c:pt idx="0">
                  <c:v>2.038735983690112</c:v>
                </c:pt>
                <c:pt idx="1">
                  <c:v>4.077471967380224</c:v>
                </c:pt>
                <c:pt idx="2">
                  <c:v>5.0968399592252798</c:v>
                </c:pt>
                <c:pt idx="3">
                  <c:v>7.1355759429153922</c:v>
                </c:pt>
                <c:pt idx="4">
                  <c:v>9.1743119266055047</c:v>
                </c:pt>
              </c:numCache>
            </c:numRef>
          </c:xVal>
          <c:yVal>
            <c:numRef>
              <c:f>Foglio1!$H$64:$H$68</c:f>
              <c:numCache>
                <c:formatCode>General</c:formatCode>
                <c:ptCount val="5"/>
                <c:pt idx="0">
                  <c:v>23</c:v>
                </c:pt>
                <c:pt idx="1">
                  <c:v>49</c:v>
                </c:pt>
                <c:pt idx="2">
                  <c:v>54</c:v>
                </c:pt>
                <c:pt idx="3">
                  <c:v>72.666666666666671</c:v>
                </c:pt>
                <c:pt idx="4">
                  <c:v>114.33333333333333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7-4217-80AE-BBB2002C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123128"/>
        <c:axId val="826971127"/>
      </c:scatterChart>
      <c:valAx>
        <c:axId val="97312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71127"/>
        <c:crosses val="autoZero"/>
        <c:crossBetween val="midCat"/>
      </c:valAx>
      <c:valAx>
        <c:axId val="82697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23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Foglio1!$H$64:$H$68</c:f>
              <c:numCache>
                <c:formatCode>General</c:formatCode>
                <c:ptCount val="5"/>
                <c:pt idx="0">
                  <c:v>23</c:v>
                </c:pt>
                <c:pt idx="1">
                  <c:v>49</c:v>
                </c:pt>
                <c:pt idx="2">
                  <c:v>54</c:v>
                </c:pt>
                <c:pt idx="3">
                  <c:v>72.666666666666671</c:v>
                </c:pt>
                <c:pt idx="4">
                  <c:v>114.33333333333333</c:v>
                </c:pt>
              </c:numCache>
            </c:numRef>
          </c:xVal>
          <c:yVal>
            <c:numRef>
              <c:f>Foglio1!$A$64:$A$68</c:f>
              <c:numCache>
                <c:formatCode>General</c:formatCode>
                <c:ptCount val="5"/>
                <c:pt idx="0">
                  <c:v>1.9620000000000003E-4</c:v>
                </c:pt>
                <c:pt idx="1">
                  <c:v>3.9240000000000005E-4</c:v>
                </c:pt>
                <c:pt idx="2">
                  <c:v>4.9050000000000005E-4</c:v>
                </c:pt>
                <c:pt idx="3">
                  <c:v>6.8670000000000005E-4</c:v>
                </c:pt>
                <c:pt idx="4">
                  <c:v>8.8290000000000005E-4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1D-4F92-B7B4-18229F60C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676000"/>
        <c:axId val="1385678496"/>
      </c:scatterChart>
      <c:valAx>
        <c:axId val="13856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8496"/>
        <c:crosses val="autoZero"/>
        <c:crossBetween val="midCat"/>
      </c:valAx>
      <c:valAx>
        <c:axId val="1385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Foglio1!$H$64:$H$68</c:f>
              <c:numCache>
                <c:formatCode>General</c:formatCode>
                <c:ptCount val="5"/>
                <c:pt idx="0">
                  <c:v>23</c:v>
                </c:pt>
                <c:pt idx="1">
                  <c:v>49</c:v>
                </c:pt>
                <c:pt idx="2">
                  <c:v>54</c:v>
                </c:pt>
                <c:pt idx="3">
                  <c:v>72.666666666666671</c:v>
                </c:pt>
                <c:pt idx="4">
                  <c:v>114.33333333333333</c:v>
                </c:pt>
              </c:numCache>
            </c:numRef>
          </c:xVal>
          <c:yVal>
            <c:numRef>
              <c:f>Foglio1!$A$64:$A$68</c:f>
              <c:numCache>
                <c:formatCode>General</c:formatCode>
                <c:ptCount val="5"/>
                <c:pt idx="0">
                  <c:v>1.9620000000000003E-4</c:v>
                </c:pt>
                <c:pt idx="1">
                  <c:v>3.9240000000000005E-4</c:v>
                </c:pt>
                <c:pt idx="2">
                  <c:v>4.9050000000000005E-4</c:v>
                </c:pt>
                <c:pt idx="3">
                  <c:v>6.8670000000000005E-4</c:v>
                </c:pt>
                <c:pt idx="4">
                  <c:v>8.8290000000000005E-4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1-4A53-B139-374373232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676000"/>
        <c:axId val="1385678496"/>
      </c:scatterChart>
      <c:valAx>
        <c:axId val="13856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8496"/>
        <c:crosses val="autoZero"/>
        <c:crossBetween val="midCat"/>
      </c:valAx>
      <c:valAx>
        <c:axId val="1385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447675</xdr:colOff>
      <xdr:row>0</xdr:row>
      <xdr:rowOff>19050</xdr:rowOff>
    </xdr:from>
    <xdr:to>
      <xdr:col>46</xdr:col>
      <xdr:colOff>304800</xdr:colOff>
      <xdr:row>13</xdr:row>
      <xdr:rowOff>28575</xdr:rowOff>
    </xdr:to>
    <xdr:graphicFrame macro="">
      <xdr:nvGraphicFramePr>
        <xdr:cNvPr id="38" name="Grafico 2">
          <a:extLst>
            <a:ext uri="{FF2B5EF4-FFF2-40B4-BE49-F238E27FC236}">
              <a16:creationId xmlns:a16="http://schemas.microsoft.com/office/drawing/2014/main" id="{701DE060-EA07-4EE1-993B-2C644BEB2B40}"/>
            </a:ext>
            <a:ext uri="{147F2762-F138-4A5C-976F-8EAC2B608ADB}">
              <a16:predDERef xmlns:a16="http://schemas.microsoft.com/office/drawing/2014/main" pred="{ECBB9C46-ED8F-48DD-8176-EBD2FE5E5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572861</xdr:colOff>
      <xdr:row>0</xdr:row>
      <xdr:rowOff>47896</xdr:rowOff>
    </xdr:from>
    <xdr:to>
      <xdr:col>38</xdr:col>
      <xdr:colOff>268061</xdr:colOff>
      <xdr:row>13</xdr:row>
      <xdr:rowOff>82187</xdr:rowOff>
    </xdr:to>
    <xdr:graphicFrame macro="">
      <xdr:nvGraphicFramePr>
        <xdr:cNvPr id="57" name="Grafico 15">
          <a:extLst>
            <a:ext uri="{FF2B5EF4-FFF2-40B4-BE49-F238E27FC236}">
              <a16:creationId xmlns:a16="http://schemas.microsoft.com/office/drawing/2014/main" id="{03E633E5-FEA3-4A09-8730-A32B4CA4D49C}"/>
            </a:ext>
            <a:ext uri="{147F2762-F138-4A5C-976F-8EAC2B608ADB}">
              <a16:predDERef xmlns:a16="http://schemas.microsoft.com/office/drawing/2014/main" pred="{701DE060-EA07-4EE1-993B-2C644BEB2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518432</xdr:colOff>
      <xdr:row>14</xdr:row>
      <xdr:rowOff>68035</xdr:rowOff>
    </xdr:from>
    <xdr:to>
      <xdr:col>38</xdr:col>
      <xdr:colOff>213632</xdr:colOff>
      <xdr:row>29</xdr:row>
      <xdr:rowOff>87085</xdr:rowOff>
    </xdr:to>
    <xdr:graphicFrame macro="">
      <xdr:nvGraphicFramePr>
        <xdr:cNvPr id="26" name="Grafico 8">
          <a:extLst>
            <a:ext uri="{FF2B5EF4-FFF2-40B4-BE49-F238E27FC236}">
              <a16:creationId xmlns:a16="http://schemas.microsoft.com/office/drawing/2014/main" id="{D59563D3-37F8-4E7E-8BF2-5E8CA85B9F0E}"/>
            </a:ext>
            <a:ext uri="{147F2762-F138-4A5C-976F-8EAC2B608ADB}">
              <a16:predDERef xmlns:a16="http://schemas.microsoft.com/office/drawing/2014/main" pred="{03E633E5-FEA3-4A09-8730-A32B4CA4D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277584</xdr:colOff>
      <xdr:row>13</xdr:row>
      <xdr:rowOff>153759</xdr:rowOff>
    </xdr:from>
    <xdr:to>
      <xdr:col>46</xdr:col>
      <xdr:colOff>582384</xdr:colOff>
      <xdr:row>28</xdr:row>
      <xdr:rowOff>140152</xdr:rowOff>
    </xdr:to>
    <xdr:graphicFrame macro="">
      <xdr:nvGraphicFramePr>
        <xdr:cNvPr id="27" name="Grafico 41">
          <a:extLst>
            <a:ext uri="{FF2B5EF4-FFF2-40B4-BE49-F238E27FC236}">
              <a16:creationId xmlns:a16="http://schemas.microsoft.com/office/drawing/2014/main" id="{95BAC643-549B-4CA6-A53E-B3D4B2046F1E}"/>
            </a:ext>
            <a:ext uri="{147F2762-F138-4A5C-976F-8EAC2B608ADB}">
              <a16:predDERef xmlns:a16="http://schemas.microsoft.com/office/drawing/2014/main" pred="{D59563D3-37F8-4E7E-8BF2-5E8CA85B9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27215</xdr:colOff>
      <xdr:row>33</xdr:row>
      <xdr:rowOff>114301</xdr:rowOff>
    </xdr:from>
    <xdr:to>
      <xdr:col>38</xdr:col>
      <xdr:colOff>357868</xdr:colOff>
      <xdr:row>47</xdr:row>
      <xdr:rowOff>51708</xdr:rowOff>
    </xdr:to>
    <xdr:graphicFrame macro="">
      <xdr:nvGraphicFramePr>
        <xdr:cNvPr id="5" name="Grafico 58">
          <a:extLst>
            <a:ext uri="{FF2B5EF4-FFF2-40B4-BE49-F238E27FC236}">
              <a16:creationId xmlns:a16="http://schemas.microsoft.com/office/drawing/2014/main" id="{D668F246-9BDF-4FE9-BF25-3915A6CD39E5}"/>
            </a:ext>
            <a:ext uri="{147F2762-F138-4A5C-976F-8EAC2B608ADB}">
              <a16:predDERef xmlns:a16="http://schemas.microsoft.com/office/drawing/2014/main" pred="{95BAC643-549B-4CA6-A53E-B3D4B2046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25853</xdr:colOff>
      <xdr:row>29</xdr:row>
      <xdr:rowOff>107497</xdr:rowOff>
    </xdr:from>
    <xdr:to>
      <xdr:col>30</xdr:col>
      <xdr:colOff>330653</xdr:colOff>
      <xdr:row>43</xdr:row>
      <xdr:rowOff>127908</xdr:rowOff>
    </xdr:to>
    <xdr:graphicFrame macro="">
      <xdr:nvGraphicFramePr>
        <xdr:cNvPr id="8" name="Grafico 2">
          <a:extLst>
            <a:ext uri="{FF2B5EF4-FFF2-40B4-BE49-F238E27FC236}">
              <a16:creationId xmlns:a16="http://schemas.microsoft.com/office/drawing/2014/main" id="{763BECB6-74FC-4845-A345-9082B3E0392B}"/>
            </a:ext>
            <a:ext uri="{147F2762-F138-4A5C-976F-8EAC2B608ADB}">
              <a16:predDERef xmlns:a16="http://schemas.microsoft.com/office/drawing/2014/main" pred="{D668F246-9BDF-4FE9-BF25-3915A6CD3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498930</xdr:colOff>
      <xdr:row>55</xdr:row>
      <xdr:rowOff>41729</xdr:rowOff>
    </xdr:from>
    <xdr:to>
      <xdr:col>35</xdr:col>
      <xdr:colOff>195945</xdr:colOff>
      <xdr:row>69</xdr:row>
      <xdr:rowOff>157843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76FB1EAB-1C13-431A-BF84-FF43F90A4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75</xdr:row>
      <xdr:rowOff>0</xdr:rowOff>
    </xdr:from>
    <xdr:to>
      <xdr:col>37</xdr:col>
      <xdr:colOff>310119</xdr:colOff>
      <xdr:row>89</xdr:row>
      <xdr:rowOff>142390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BEC96869-40E3-419D-95EF-D1AFA1FDE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54</xdr:row>
      <xdr:rowOff>180975</xdr:rowOff>
    </xdr:from>
    <xdr:to>
      <xdr:col>14</xdr:col>
      <xdr:colOff>114300</xdr:colOff>
      <xdr:row>72</xdr:row>
      <xdr:rowOff>152400</xdr:rowOff>
    </xdr:to>
    <xdr:graphicFrame macro="">
      <xdr:nvGraphicFramePr>
        <xdr:cNvPr id="2" name="Grafico 2">
          <a:extLst>
            <a:ext uri="{FF2B5EF4-FFF2-40B4-BE49-F238E27FC236}">
              <a16:creationId xmlns:a16="http://schemas.microsoft.com/office/drawing/2014/main" id="{FFDA3CDA-911B-4C6A-85C7-553A123302B8}"/>
            </a:ext>
            <a:ext uri="{147F2762-F138-4A5C-976F-8EAC2B608ADB}">
              <a16:predDERef xmlns:a16="http://schemas.microsoft.com/office/drawing/2014/main" pred="{ECBB9C46-ED8F-48DD-8176-EBD2FE5E5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296636</xdr:colOff>
      <xdr:row>40</xdr:row>
      <xdr:rowOff>38371</xdr:rowOff>
    </xdr:from>
    <xdr:to>
      <xdr:col>7</xdr:col>
      <xdr:colOff>249011</xdr:colOff>
      <xdr:row>53</xdr:row>
      <xdr:rowOff>120287</xdr:rowOff>
    </xdr:to>
    <xdr:graphicFrame macro="">
      <xdr:nvGraphicFramePr>
        <xdr:cNvPr id="3" name="Grafico 15">
          <a:extLst>
            <a:ext uri="{FF2B5EF4-FFF2-40B4-BE49-F238E27FC236}">
              <a16:creationId xmlns:a16="http://schemas.microsoft.com/office/drawing/2014/main" id="{45A19ADD-5268-428B-9E94-7A48F7CDFD42}"/>
            </a:ext>
            <a:ext uri="{147F2762-F138-4A5C-976F-8EAC2B608ADB}">
              <a16:predDERef xmlns:a16="http://schemas.microsoft.com/office/drawing/2014/main" pred="{FFDA3CDA-911B-4C6A-85C7-553A12330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54</xdr:row>
      <xdr:rowOff>180975</xdr:rowOff>
    </xdr:from>
    <xdr:to>
      <xdr:col>7</xdr:col>
      <xdr:colOff>190500</xdr:colOff>
      <xdr:row>72</xdr:row>
      <xdr:rowOff>142875</xdr:rowOff>
    </xdr:to>
    <xdr:graphicFrame macro="">
      <xdr:nvGraphicFramePr>
        <xdr:cNvPr id="4" name="Grafico 8">
          <a:extLst>
            <a:ext uri="{FF2B5EF4-FFF2-40B4-BE49-F238E27FC236}">
              <a16:creationId xmlns:a16="http://schemas.microsoft.com/office/drawing/2014/main" id="{6C6CA772-AC7E-4257-8133-40CCF82B1D5F}"/>
            </a:ext>
            <a:ext uri="{147F2762-F138-4A5C-976F-8EAC2B608ADB}">
              <a16:predDERef xmlns:a16="http://schemas.microsoft.com/office/drawing/2014/main" pred="{45A19ADD-5268-428B-9E94-7A48F7CDF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209550</xdr:colOff>
      <xdr:row>73</xdr:row>
      <xdr:rowOff>85725</xdr:rowOff>
    </xdr:from>
    <xdr:to>
      <xdr:col>14</xdr:col>
      <xdr:colOff>209550</xdr:colOff>
      <xdr:row>89</xdr:row>
      <xdr:rowOff>57150</xdr:rowOff>
    </xdr:to>
    <xdr:graphicFrame macro="">
      <xdr:nvGraphicFramePr>
        <xdr:cNvPr id="5" name="Grafico 41">
          <a:extLst>
            <a:ext uri="{FF2B5EF4-FFF2-40B4-BE49-F238E27FC236}">
              <a16:creationId xmlns:a16="http://schemas.microsoft.com/office/drawing/2014/main" id="{D88285CA-8DF2-4407-96FE-0EF3C6D5E1D3}"/>
            </a:ext>
            <a:ext uri="{147F2762-F138-4A5C-976F-8EAC2B608ADB}">
              <a16:predDERef xmlns:a16="http://schemas.microsoft.com/office/drawing/2014/main" pred="{6C6CA772-AC7E-4257-8133-40CCF82B1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438150</xdr:colOff>
      <xdr:row>54</xdr:row>
      <xdr:rowOff>180975</xdr:rowOff>
    </xdr:from>
    <xdr:to>
      <xdr:col>19</xdr:col>
      <xdr:colOff>847725</xdr:colOff>
      <xdr:row>72</xdr:row>
      <xdr:rowOff>123825</xdr:rowOff>
    </xdr:to>
    <xdr:graphicFrame macro="">
      <xdr:nvGraphicFramePr>
        <xdr:cNvPr id="6" name="Grafico 58">
          <a:extLst>
            <a:ext uri="{FF2B5EF4-FFF2-40B4-BE49-F238E27FC236}">
              <a16:creationId xmlns:a16="http://schemas.microsoft.com/office/drawing/2014/main" id="{80BD99F0-0BAE-4C51-880A-8B23DDCD58AA}"/>
            </a:ext>
            <a:ext uri="{147F2762-F138-4A5C-976F-8EAC2B608ADB}">
              <a16:predDERef xmlns:a16="http://schemas.microsoft.com/office/drawing/2014/main" pred="{D88285CA-8DF2-4407-96FE-0EF3C6D5E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57150</xdr:colOff>
      <xdr:row>73</xdr:row>
      <xdr:rowOff>161925</xdr:rowOff>
    </xdr:from>
    <xdr:to>
      <xdr:col>6</xdr:col>
      <xdr:colOff>257175</xdr:colOff>
      <xdr:row>88</xdr:row>
      <xdr:rowOff>180975</xdr:rowOff>
    </xdr:to>
    <xdr:graphicFrame macro="">
      <xdr:nvGraphicFramePr>
        <xdr:cNvPr id="7" name="Grafico 2">
          <a:extLst>
            <a:ext uri="{FF2B5EF4-FFF2-40B4-BE49-F238E27FC236}">
              <a16:creationId xmlns:a16="http://schemas.microsoft.com/office/drawing/2014/main" id="{33EA312F-EFEF-4D97-AE92-59B3961D0C44}"/>
            </a:ext>
            <a:ext uri="{147F2762-F138-4A5C-976F-8EAC2B608ADB}">
              <a16:predDERef xmlns:a16="http://schemas.microsoft.com/office/drawing/2014/main" pred="{80BD99F0-0BAE-4C51-880A-8B23DDCD5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260805</xdr:colOff>
      <xdr:row>135</xdr:row>
      <xdr:rowOff>98879</xdr:rowOff>
    </xdr:from>
    <xdr:to>
      <xdr:col>15</xdr:col>
      <xdr:colOff>195945</xdr:colOff>
      <xdr:row>150</xdr:row>
      <xdr:rowOff>148318</xdr:rowOff>
    </xdr:to>
    <xdr:graphicFrame macro="">
      <xdr:nvGraphicFramePr>
        <xdr:cNvPr id="8" name="Grafico 8">
          <a:extLst>
            <a:ext uri="{FF2B5EF4-FFF2-40B4-BE49-F238E27FC236}">
              <a16:creationId xmlns:a16="http://schemas.microsoft.com/office/drawing/2014/main" id="{E8130727-2325-4A88-B4FF-D0933FB6ADEC}"/>
            </a:ext>
            <a:ext uri="{147F2762-F138-4A5C-976F-8EAC2B608ADB}">
              <a16:predDERef xmlns:a16="http://schemas.microsoft.com/office/drawing/2014/main" pred="{33EA312F-EFEF-4D97-AE92-59B3961D0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304800</xdr:colOff>
      <xdr:row>135</xdr:row>
      <xdr:rowOff>133350</xdr:rowOff>
    </xdr:from>
    <xdr:to>
      <xdr:col>7</xdr:col>
      <xdr:colOff>262494</xdr:colOff>
      <xdr:row>151</xdr:row>
      <xdr:rowOff>18565</xdr:rowOff>
    </xdr:to>
    <xdr:graphicFrame macro="">
      <xdr:nvGraphicFramePr>
        <xdr:cNvPr id="9" name="Grafico 9">
          <a:extLst>
            <a:ext uri="{FF2B5EF4-FFF2-40B4-BE49-F238E27FC236}">
              <a16:creationId xmlns:a16="http://schemas.microsoft.com/office/drawing/2014/main" id="{51E3DDB9-E374-458F-A220-6987673F5985}"/>
            </a:ext>
            <a:ext uri="{147F2762-F138-4A5C-976F-8EAC2B608ADB}">
              <a16:predDERef xmlns:a16="http://schemas.microsoft.com/office/drawing/2014/main" pred="{E8130727-2325-4A88-B4FF-D0933FB6A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ebusers.fis.uniroma3.it/liquidsgroup/didattica/Analisi%20dei%20dati/chiquadro.pdf" TargetMode="External"/><Relationship Id="rId1" Type="http://schemas.openxmlformats.org/officeDocument/2006/relationships/hyperlink" Target="https://userswww.pd.infn.it/~scarlass/fisica1_ing/laboratorio/Interpolazion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86"/>
  <sheetViews>
    <sheetView topLeftCell="G1" zoomScale="87" zoomScaleNormal="70" workbookViewId="0">
      <selection sqref="A1:XFD1048576"/>
    </sheetView>
  </sheetViews>
  <sheetFormatPr defaultRowHeight="14.4" x14ac:dyDescent="0.3"/>
  <cols>
    <col min="2" max="2" width="12.44140625" customWidth="1"/>
    <col min="6" max="6" width="11.109375" bestFit="1" customWidth="1"/>
    <col min="8" max="8" width="11.109375" bestFit="1" customWidth="1"/>
    <col min="12" max="13" width="12.6640625" bestFit="1" customWidth="1"/>
    <col min="15" max="15" width="11.6640625" bestFit="1" customWidth="1"/>
    <col min="17" max="17" width="12.109375" bestFit="1" customWidth="1"/>
    <col min="19" max="19" width="12.109375" bestFit="1" customWidth="1"/>
    <col min="20" max="20" width="13.33203125" customWidth="1"/>
    <col min="21" max="21" width="14.109375" customWidth="1"/>
    <col min="22" max="22" width="13.5546875" bestFit="1" customWidth="1"/>
    <col min="23" max="23" width="13" bestFit="1" customWidth="1"/>
    <col min="27" max="27" width="13" bestFit="1" customWidth="1"/>
  </cols>
  <sheetData>
    <row r="2" spans="1:27" ht="18" customHeight="1" x14ac:dyDescent="0.3">
      <c r="A2" t="s">
        <v>0</v>
      </c>
      <c r="B2" s="4" t="s">
        <v>1</v>
      </c>
      <c r="C2" s="72" t="s">
        <v>2</v>
      </c>
      <c r="D2" s="72"/>
      <c r="E2" s="72"/>
      <c r="F2" s="72"/>
      <c r="G2" s="72"/>
      <c r="I2" t="s">
        <v>3</v>
      </c>
      <c r="S2" t="s">
        <v>4</v>
      </c>
      <c r="T2" t="s">
        <v>5</v>
      </c>
      <c r="U2" t="s">
        <v>6</v>
      </c>
      <c r="V2" s="3" t="s">
        <v>7</v>
      </c>
      <c r="W2" s="3" t="s">
        <v>8</v>
      </c>
      <c r="Y2" s="7" t="s">
        <v>9</v>
      </c>
      <c r="AA2" s="12" t="s">
        <v>10</v>
      </c>
    </row>
    <row r="3" spans="1:27" x14ac:dyDescent="0.3">
      <c r="A3">
        <f>1/(B3^2)</f>
        <v>625</v>
      </c>
      <c r="B3" s="1">
        <v>0.04</v>
      </c>
      <c r="C3" s="1">
        <v>57</v>
      </c>
      <c r="D3" s="1">
        <v>58</v>
      </c>
      <c r="E3" s="1">
        <v>57</v>
      </c>
      <c r="F3" s="1">
        <v>57</v>
      </c>
      <c r="G3" s="1">
        <v>57</v>
      </c>
      <c r="I3">
        <f t="shared" ref="I3:I8" si="0">(C3+D3+E3+F3+G3)/5</f>
        <v>57.2</v>
      </c>
      <c r="S3">
        <f>I3^2</f>
        <v>3271.84</v>
      </c>
      <c r="T3">
        <f t="shared" ref="T3:T8" si="1">SQRT(((I3-C3)^2+(I3-D3)^2+(I3-E3)^2+(I3-F3)^2+(I3-G3)^2)/5)</f>
        <v>0.4</v>
      </c>
      <c r="U3">
        <f>AVERAGE(T3:T8)</f>
        <v>0.86031065210458724</v>
      </c>
      <c r="V3" s="3">
        <f t="shared" ref="V3:V8" si="2">_xlfn.STDEV.S(C3,D3,E3,F3,G3)</f>
        <v>0.44721359549995793</v>
      </c>
      <c r="W3" s="3">
        <f>_xlfn.STDEV.P(C3:G3)</f>
        <v>0.4</v>
      </c>
      <c r="Y3">
        <f t="shared" ref="Y3:Y8" si="3">A3*I3</f>
        <v>35750</v>
      </c>
    </row>
    <row r="4" spans="1:27" x14ac:dyDescent="0.3">
      <c r="A4">
        <f t="shared" ref="A4:A8" si="4">1/(B4^2)</f>
        <v>204.08163265306121</v>
      </c>
      <c r="B4" s="1">
        <v>7.0000000000000007E-2</v>
      </c>
      <c r="C4" s="1">
        <v>31</v>
      </c>
      <c r="D4" s="1">
        <v>31</v>
      </c>
      <c r="E4" s="1">
        <v>28</v>
      </c>
      <c r="F4" s="1">
        <v>30</v>
      </c>
      <c r="G4" s="1">
        <v>29</v>
      </c>
      <c r="I4">
        <f t="shared" si="0"/>
        <v>29.8</v>
      </c>
      <c r="S4">
        <f t="shared" ref="S4:S8" si="5">I4^2</f>
        <v>888.04000000000008</v>
      </c>
      <c r="T4">
        <f t="shared" si="1"/>
        <v>1.1661903789690602</v>
      </c>
      <c r="V4" s="3">
        <f t="shared" si="2"/>
        <v>1.3038404810405297</v>
      </c>
      <c r="W4" s="3">
        <f t="shared" ref="W4:W8" si="6">_xlfn.STDEV.P(C4:G4)</f>
        <v>1.1661903789690602</v>
      </c>
      <c r="Y4">
        <f t="shared" si="3"/>
        <v>6081.6326530612241</v>
      </c>
    </row>
    <row r="5" spans="1:27" x14ac:dyDescent="0.3">
      <c r="A5">
        <f t="shared" si="4"/>
        <v>99.999999999999986</v>
      </c>
      <c r="B5" s="1">
        <v>0.1</v>
      </c>
      <c r="C5" s="1">
        <v>16</v>
      </c>
      <c r="D5" s="1">
        <v>15</v>
      </c>
      <c r="E5" s="1">
        <v>15</v>
      </c>
      <c r="F5" s="1">
        <v>16</v>
      </c>
      <c r="G5" s="1">
        <v>15</v>
      </c>
      <c r="I5">
        <f t="shared" si="0"/>
        <v>15.4</v>
      </c>
      <c r="S5">
        <f t="shared" si="5"/>
        <v>237.16000000000003</v>
      </c>
      <c r="T5">
        <f t="shared" si="1"/>
        <v>0.48989794855663565</v>
      </c>
      <c r="V5" s="3">
        <f t="shared" si="2"/>
        <v>0.54772255750516619</v>
      </c>
      <c r="W5" s="3">
        <f t="shared" si="6"/>
        <v>0.48989794855663565</v>
      </c>
      <c r="Y5">
        <f t="shared" si="3"/>
        <v>1539.9999999999998</v>
      </c>
    </row>
    <row r="6" spans="1:27" x14ac:dyDescent="0.3">
      <c r="A6">
        <f t="shared" si="4"/>
        <v>59.171597633136088</v>
      </c>
      <c r="B6" s="1">
        <v>0.13</v>
      </c>
      <c r="C6" s="1">
        <v>9</v>
      </c>
      <c r="D6" s="1">
        <v>8</v>
      </c>
      <c r="E6" s="1">
        <v>8</v>
      </c>
      <c r="F6" s="1">
        <v>7</v>
      </c>
      <c r="G6" s="1">
        <v>8</v>
      </c>
      <c r="I6">
        <f t="shared" si="0"/>
        <v>8</v>
      </c>
      <c r="S6">
        <f t="shared" si="5"/>
        <v>64</v>
      </c>
      <c r="T6">
        <f t="shared" si="1"/>
        <v>0.63245553203367588</v>
      </c>
      <c r="V6" s="3">
        <f t="shared" si="2"/>
        <v>0.70710678118654757</v>
      </c>
      <c r="W6" s="3">
        <f t="shared" si="6"/>
        <v>0.63245553203367588</v>
      </c>
      <c r="Y6">
        <f t="shared" si="3"/>
        <v>473.3727810650887</v>
      </c>
    </row>
    <row r="7" spans="1:27" x14ac:dyDescent="0.3">
      <c r="A7">
        <f t="shared" si="4"/>
        <v>39.0625</v>
      </c>
      <c r="B7" s="1">
        <v>0.16</v>
      </c>
      <c r="C7" s="1">
        <v>5</v>
      </c>
      <c r="D7" s="1">
        <v>5</v>
      </c>
      <c r="E7" s="1">
        <v>8</v>
      </c>
      <c r="F7" s="1">
        <v>3</v>
      </c>
      <c r="G7" s="1">
        <v>4</v>
      </c>
      <c r="I7">
        <f t="shared" si="0"/>
        <v>5</v>
      </c>
      <c r="S7">
        <f t="shared" si="5"/>
        <v>25</v>
      </c>
      <c r="T7">
        <f t="shared" si="1"/>
        <v>1.6733200530681511</v>
      </c>
      <c r="V7" s="3">
        <f t="shared" si="2"/>
        <v>1.8708286933869707</v>
      </c>
      <c r="W7" s="3">
        <f t="shared" si="6"/>
        <v>1.6733200530681511</v>
      </c>
      <c r="Y7">
        <f t="shared" si="3"/>
        <v>195.3125</v>
      </c>
    </row>
    <row r="8" spans="1:27" x14ac:dyDescent="0.3">
      <c r="A8">
        <f t="shared" si="4"/>
        <v>27.700831024930746</v>
      </c>
      <c r="B8" s="1">
        <v>0.19</v>
      </c>
      <c r="C8" s="1">
        <v>4</v>
      </c>
      <c r="D8" s="1">
        <v>4</v>
      </c>
      <c r="E8" s="1">
        <v>4</v>
      </c>
      <c r="F8" s="1">
        <v>5</v>
      </c>
      <c r="G8" s="1">
        <v>6</v>
      </c>
      <c r="I8">
        <f t="shared" si="0"/>
        <v>4.5999999999999996</v>
      </c>
      <c r="S8">
        <f t="shared" si="5"/>
        <v>21.159999999999997</v>
      </c>
      <c r="T8">
        <f t="shared" si="1"/>
        <v>0.8</v>
      </c>
      <c r="V8" s="3">
        <f t="shared" si="2"/>
        <v>0.8944271909999163</v>
      </c>
      <c r="W8" s="3">
        <f t="shared" si="6"/>
        <v>0.8</v>
      </c>
      <c r="Y8">
        <f t="shared" si="3"/>
        <v>127.42382271468142</v>
      </c>
    </row>
    <row r="11" spans="1:27" x14ac:dyDescent="0.3">
      <c r="B11" s="4"/>
      <c r="C11" s="4" t="s">
        <v>3</v>
      </c>
      <c r="D11" s="4" t="s">
        <v>1</v>
      </c>
      <c r="G11" t="s">
        <v>11</v>
      </c>
      <c r="H11" t="s">
        <v>12</v>
      </c>
      <c r="I11" t="s">
        <v>13</v>
      </c>
      <c r="T11" t="s">
        <v>14</v>
      </c>
      <c r="U11" t="s">
        <v>15</v>
      </c>
      <c r="V11" t="s">
        <v>16</v>
      </c>
      <c r="X11" s="8" t="s">
        <v>17</v>
      </c>
    </row>
    <row r="12" spans="1:27" x14ac:dyDescent="0.3">
      <c r="A12" s="6" t="s">
        <v>18</v>
      </c>
      <c r="B12" s="5"/>
      <c r="C12" s="4">
        <f t="shared" ref="C12:C17" si="7">SUM(C3:G3)/5</f>
        <v>57.2</v>
      </c>
      <c r="D12" s="5">
        <v>0.04</v>
      </c>
      <c r="G12">
        <f t="shared" ref="G12:H17" si="8">LN(C12)</f>
        <v>4.0465538983857519</v>
      </c>
      <c r="H12">
        <f t="shared" si="8"/>
        <v>-3.2188758248682006</v>
      </c>
      <c r="I12" t="s">
        <v>19</v>
      </c>
      <c r="T12">
        <f>5*SUM(S3:S8)-(SUM(I3:I8))^2</f>
        <v>8136</v>
      </c>
      <c r="U12">
        <f>((SUM(S3:S8)*SUM(A3:A8))-(SUM(I3:I8)*SUM(U20:U25)))/T12</f>
        <v>-66.981116725590439</v>
      </c>
      <c r="V12">
        <f>(5*SUM(Y3:Y8)-SUM(A3:A8)*SUM(I3:I8))/T$12</f>
        <v>11.582684541158997</v>
      </c>
      <c r="X12" t="s">
        <v>20</v>
      </c>
      <c r="Z12" t="s">
        <v>21</v>
      </c>
    </row>
    <row r="13" spans="1:27" x14ac:dyDescent="0.3">
      <c r="A13" s="6" t="s">
        <v>22</v>
      </c>
      <c r="B13" s="5"/>
      <c r="C13" s="4">
        <f t="shared" si="7"/>
        <v>29.8</v>
      </c>
      <c r="D13" s="5">
        <v>7.0000000000000007E-2</v>
      </c>
      <c r="G13">
        <f t="shared" si="8"/>
        <v>3.3945083935113587</v>
      </c>
      <c r="H13">
        <f t="shared" si="8"/>
        <v>-2.6592600369327779</v>
      </c>
      <c r="I13">
        <f t="shared" ref="I13:I17" si="9">LN(A4)</f>
        <v>5.3185200738655558</v>
      </c>
    </row>
    <row r="14" spans="1:27" x14ac:dyDescent="0.3">
      <c r="B14" s="5"/>
      <c r="C14" s="4">
        <f t="shared" si="7"/>
        <v>15.4</v>
      </c>
      <c r="D14" s="5">
        <v>0.1</v>
      </c>
      <c r="G14">
        <f t="shared" si="8"/>
        <v>2.7343675094195836</v>
      </c>
      <c r="H14">
        <f t="shared" si="8"/>
        <v>-2.3025850929940455</v>
      </c>
      <c r="I14">
        <f t="shared" si="9"/>
        <v>4.6051701859880909</v>
      </c>
    </row>
    <row r="15" spans="1:27" x14ac:dyDescent="0.3">
      <c r="B15" s="5"/>
      <c r="C15" s="4">
        <f t="shared" si="7"/>
        <v>8</v>
      </c>
      <c r="D15" s="5">
        <v>0.13</v>
      </c>
      <c r="G15">
        <f t="shared" si="8"/>
        <v>2.0794415416798357</v>
      </c>
      <c r="H15">
        <f t="shared" si="8"/>
        <v>-2.0402208285265546</v>
      </c>
      <c r="I15">
        <f t="shared" si="9"/>
        <v>4.0804416570531092</v>
      </c>
    </row>
    <row r="16" spans="1:27" x14ac:dyDescent="0.3">
      <c r="B16" s="5"/>
      <c r="C16" s="4">
        <f t="shared" si="7"/>
        <v>5</v>
      </c>
      <c r="D16" s="5">
        <v>0.16</v>
      </c>
      <c r="G16">
        <f t="shared" si="8"/>
        <v>1.6094379124341003</v>
      </c>
      <c r="H16">
        <f t="shared" si="8"/>
        <v>-1.8325814637483102</v>
      </c>
      <c r="I16">
        <f t="shared" si="9"/>
        <v>3.6651629274966204</v>
      </c>
    </row>
    <row r="17" spans="2:27" x14ac:dyDescent="0.3">
      <c r="B17" s="5"/>
      <c r="C17" s="4">
        <f t="shared" si="7"/>
        <v>4.5999999999999996</v>
      </c>
      <c r="D17" s="5">
        <v>0.19</v>
      </c>
      <c r="G17">
        <f t="shared" si="8"/>
        <v>1.5260563034950492</v>
      </c>
      <c r="H17">
        <f t="shared" si="8"/>
        <v>-1.6607312068216509</v>
      </c>
      <c r="I17">
        <f t="shared" si="9"/>
        <v>3.3214624136433017</v>
      </c>
    </row>
    <row r="19" spans="2:27" x14ac:dyDescent="0.3">
      <c r="B19" t="s">
        <v>23</v>
      </c>
      <c r="C19" t="s">
        <v>24</v>
      </c>
      <c r="D19" t="s">
        <v>25</v>
      </c>
      <c r="E19" t="s">
        <v>26</v>
      </c>
      <c r="F19" t="s">
        <v>27</v>
      </c>
      <c r="I19" s="9" t="s">
        <v>28</v>
      </c>
      <c r="J19" s="23"/>
      <c r="K19" s="23"/>
      <c r="L19" s="23"/>
      <c r="M19" s="23"/>
      <c r="N19" s="23"/>
      <c r="O19" s="23"/>
      <c r="P19" s="23"/>
      <c r="Q19" s="23"/>
      <c r="R19" s="23"/>
      <c r="S19" t="s">
        <v>29</v>
      </c>
      <c r="T19" t="s">
        <v>30</v>
      </c>
      <c r="U19" t="s">
        <v>31</v>
      </c>
      <c r="W19" t="s">
        <v>32</v>
      </c>
      <c r="X19" t="s">
        <v>33</v>
      </c>
      <c r="Z19" t="s">
        <v>34</v>
      </c>
      <c r="AA19" t="s">
        <v>35</v>
      </c>
    </row>
    <row r="20" spans="2:27" x14ac:dyDescent="0.3">
      <c r="B20">
        <f t="shared" ref="B20:B25" si="10">I3</f>
        <v>57.2</v>
      </c>
      <c r="C20">
        <f t="shared" ref="C20:C25" si="11">A3</f>
        <v>625</v>
      </c>
      <c r="D20">
        <f t="shared" ref="D20:D25" si="12">B20-Z$20</f>
        <v>-21.558607609710535</v>
      </c>
      <c r="E20">
        <f t="shared" ref="E20:E25" si="13">C20*D20</f>
        <v>-13474.129756069084</v>
      </c>
      <c r="F20">
        <f t="shared" ref="F20:F25" si="14">D20^2</f>
        <v>464.77356206946899</v>
      </c>
      <c r="I20" s="10">
        <f t="shared" ref="I20:I25" si="15">S$26*D20+S$23</f>
        <v>212.60418037579214</v>
      </c>
      <c r="J20" s="4"/>
      <c r="K20" s="4"/>
      <c r="L20" s="4"/>
      <c r="M20" s="4"/>
      <c r="N20" s="4"/>
      <c r="O20" s="4"/>
      <c r="P20" s="4"/>
      <c r="Q20" s="4"/>
      <c r="R20" s="4"/>
      <c r="S20">
        <f>SUM(E20:E25)/6</f>
        <v>-6487.3156028680423</v>
      </c>
      <c r="T20">
        <f>SUM(D20:D25)/6</f>
        <v>-58.758607609710538</v>
      </c>
      <c r="U20">
        <f t="shared" ref="U20:U25" si="16">I3*A3</f>
        <v>35750</v>
      </c>
      <c r="W20">
        <f t="shared" ref="W20:W25" si="17">1/(W3^2)</f>
        <v>6.2499999999999991</v>
      </c>
      <c r="X20">
        <f t="shared" ref="X20:X25" si="18">I3*W20</f>
        <v>357.49999999999994</v>
      </c>
      <c r="Z20">
        <f>(SUM(X20:X25))/6</f>
        <v>78.758607609710538</v>
      </c>
      <c r="AA20">
        <f>SUM(A3:A8)/6</f>
        <v>175.83609355185467</v>
      </c>
    </row>
    <row r="21" spans="2:27" x14ac:dyDescent="0.3">
      <c r="B21">
        <f t="shared" si="10"/>
        <v>29.8</v>
      </c>
      <c r="C21">
        <f t="shared" si="11"/>
        <v>204.08163265306121</v>
      </c>
      <c r="D21">
        <f t="shared" si="12"/>
        <v>-48.95860760971054</v>
      </c>
      <c r="E21">
        <f t="shared" si="13"/>
        <v>-9991.5525734103139</v>
      </c>
      <c r="F21">
        <f t="shared" si="14"/>
        <v>2396.9452590816068</v>
      </c>
      <c r="I21" s="10">
        <f t="shared" si="15"/>
        <v>259.33472982566047</v>
      </c>
      <c r="J21" s="4"/>
      <c r="K21" s="4"/>
      <c r="L21" s="4"/>
      <c r="M21" s="4"/>
      <c r="N21" s="4"/>
      <c r="O21" s="4"/>
      <c r="P21" s="4"/>
      <c r="Q21" s="4"/>
      <c r="R21" s="4"/>
      <c r="U21">
        <f t="shared" si="16"/>
        <v>6081.6326530612241</v>
      </c>
      <c r="W21">
        <f t="shared" si="17"/>
        <v>0.73529411764705865</v>
      </c>
      <c r="X21">
        <f t="shared" si="18"/>
        <v>21.911764705882348</v>
      </c>
    </row>
    <row r="22" spans="2:27" x14ac:dyDescent="0.3">
      <c r="B22">
        <f t="shared" si="10"/>
        <v>15.4</v>
      </c>
      <c r="C22">
        <f t="shared" si="11"/>
        <v>99.999999999999986</v>
      </c>
      <c r="D22">
        <f t="shared" si="12"/>
        <v>-63.358607609710539</v>
      </c>
      <c r="E22">
        <f t="shared" si="13"/>
        <v>-6335.8607609710534</v>
      </c>
      <c r="F22">
        <f t="shared" si="14"/>
        <v>4014.3131582412702</v>
      </c>
      <c r="I22" s="10">
        <f t="shared" si="15"/>
        <v>283.89385070442347</v>
      </c>
      <c r="J22" s="4"/>
      <c r="K22" s="4"/>
      <c r="L22" s="4"/>
      <c r="M22" s="4"/>
      <c r="N22" s="4"/>
      <c r="O22" s="4"/>
      <c r="P22" s="4"/>
      <c r="Q22" s="4"/>
      <c r="R22" s="4"/>
      <c r="S22" t="s">
        <v>36</v>
      </c>
      <c r="U22">
        <f t="shared" si="16"/>
        <v>1539.9999999999998</v>
      </c>
      <c r="W22">
        <f t="shared" si="17"/>
        <v>4.1666666666666661</v>
      </c>
      <c r="X22">
        <f t="shared" si="18"/>
        <v>64.166666666666657</v>
      </c>
    </row>
    <row r="23" spans="2:27" x14ac:dyDescent="0.3">
      <c r="B23">
        <f t="shared" si="10"/>
        <v>8</v>
      </c>
      <c r="C23">
        <f t="shared" si="11"/>
        <v>59.171597633136088</v>
      </c>
      <c r="D23">
        <f t="shared" si="12"/>
        <v>-70.758607609710538</v>
      </c>
      <c r="E23">
        <f t="shared" si="13"/>
        <v>-4186.8998585627533</v>
      </c>
      <c r="F23">
        <f t="shared" si="14"/>
        <v>5006.7805508649863</v>
      </c>
      <c r="I23" s="10">
        <f t="shared" si="15"/>
        <v>296.51451004489883</v>
      </c>
      <c r="J23" s="4"/>
      <c r="K23" s="4"/>
      <c r="L23" s="4"/>
      <c r="M23" s="4"/>
      <c r="N23" s="4"/>
      <c r="O23" s="4"/>
      <c r="P23" s="4"/>
      <c r="Q23" s="4"/>
      <c r="R23" s="4"/>
      <c r="S23">
        <f>AA20</f>
        <v>175.83609355185467</v>
      </c>
      <c r="U23">
        <f t="shared" si="16"/>
        <v>473.3727810650887</v>
      </c>
      <c r="W23">
        <f t="shared" si="17"/>
        <v>2.5</v>
      </c>
      <c r="X23">
        <f t="shared" si="18"/>
        <v>20</v>
      </c>
    </row>
    <row r="24" spans="2:27" x14ac:dyDescent="0.3">
      <c r="B24">
        <f t="shared" si="10"/>
        <v>5</v>
      </c>
      <c r="C24">
        <f t="shared" si="11"/>
        <v>39.0625</v>
      </c>
      <c r="D24">
        <f t="shared" si="12"/>
        <v>-73.758607609710538</v>
      </c>
      <c r="E24">
        <f t="shared" si="13"/>
        <v>-2881.195609754318</v>
      </c>
      <c r="F24">
        <f t="shared" si="14"/>
        <v>5440.332196523249</v>
      </c>
      <c r="I24" s="10">
        <f t="shared" si="15"/>
        <v>301.63099356130778</v>
      </c>
      <c r="J24" s="4"/>
      <c r="K24" s="4"/>
      <c r="L24" s="4"/>
      <c r="M24" s="4"/>
      <c r="N24" s="4"/>
      <c r="O24" s="4"/>
      <c r="P24" s="4"/>
      <c r="Q24" s="4"/>
      <c r="R24" s="4"/>
      <c r="U24">
        <f t="shared" si="16"/>
        <v>195.3125</v>
      </c>
      <c r="W24">
        <f t="shared" si="17"/>
        <v>0.3571428571428571</v>
      </c>
      <c r="X24">
        <f t="shared" si="18"/>
        <v>1.7857142857142856</v>
      </c>
    </row>
    <row r="25" spans="2:27" x14ac:dyDescent="0.3">
      <c r="B25">
        <f t="shared" si="10"/>
        <v>4.5999999999999996</v>
      </c>
      <c r="C25">
        <f t="shared" si="11"/>
        <v>27.700831024930746</v>
      </c>
      <c r="D25">
        <f t="shared" si="12"/>
        <v>-74.158607609710543</v>
      </c>
      <c r="E25">
        <f t="shared" si="13"/>
        <v>-2054.255058440735</v>
      </c>
      <c r="F25">
        <f t="shared" si="14"/>
        <v>5499.4990826110188</v>
      </c>
      <c r="I25" s="11">
        <f t="shared" si="15"/>
        <v>302.31319136349566</v>
      </c>
      <c r="J25" s="4"/>
      <c r="K25" s="4"/>
      <c r="L25" s="4"/>
      <c r="M25" s="4"/>
      <c r="N25" s="4"/>
      <c r="O25" s="4"/>
      <c r="P25" s="4"/>
      <c r="Q25" s="4"/>
      <c r="R25" s="4"/>
      <c r="S25" t="s">
        <v>37</v>
      </c>
      <c r="U25">
        <f t="shared" si="16"/>
        <v>127.42382271468142</v>
      </c>
      <c r="W25">
        <f t="shared" si="17"/>
        <v>1.5624999999999998</v>
      </c>
      <c r="X25">
        <f t="shared" si="18"/>
        <v>7.1874999999999982</v>
      </c>
    </row>
    <row r="26" spans="2:27" x14ac:dyDescent="0.3">
      <c r="D26" s="8" t="s">
        <v>38</v>
      </c>
      <c r="E26" s="8"/>
      <c r="S26">
        <f>S20/D27</f>
        <v>-1.7054945054696482</v>
      </c>
    </row>
    <row r="27" spans="2:27" x14ac:dyDescent="0.3">
      <c r="D27">
        <f>(SUM(F20:F25)/6)</f>
        <v>3803.7739682319334</v>
      </c>
    </row>
    <row r="29" spans="2:27" x14ac:dyDescent="0.3">
      <c r="B29" t="s">
        <v>39</v>
      </c>
      <c r="D29" t="s">
        <v>40</v>
      </c>
    </row>
    <row r="30" spans="2:27" x14ac:dyDescent="0.3">
      <c r="B30">
        <f>(A3-I20)^2</f>
        <v>170070.31204352222</v>
      </c>
      <c r="D30">
        <f>SUM(B30:B36)/U3^2</f>
        <v>550745.88543566933</v>
      </c>
    </row>
    <row r="31" spans="2:27" x14ac:dyDescent="0.3">
      <c r="B31">
        <f t="shared" ref="B31:B35" si="19">(A4-I21)^2</f>
        <v>3052.9047471646973</v>
      </c>
    </row>
    <row r="32" spans="2:27" x14ac:dyDescent="0.3">
      <c r="B32">
        <f t="shared" si="19"/>
        <v>33816.948326900791</v>
      </c>
    </row>
    <row r="33" spans="2:22" x14ac:dyDescent="0.3">
      <c r="B33">
        <f t="shared" si="19"/>
        <v>56331.658072097678</v>
      </c>
    </row>
    <row r="34" spans="2:22" x14ac:dyDescent="0.3">
      <c r="B34">
        <f t="shared" si="19"/>
        <v>68942.21381105452</v>
      </c>
    </row>
    <row r="35" spans="2:22" x14ac:dyDescent="0.3">
      <c r="B35">
        <f t="shared" si="19"/>
        <v>75411.948450717828</v>
      </c>
    </row>
    <row r="37" spans="2:22" x14ac:dyDescent="0.3">
      <c r="M37" t="s">
        <v>41</v>
      </c>
      <c r="N37" t="s">
        <v>41</v>
      </c>
    </row>
    <row r="38" spans="2:22" x14ac:dyDescent="0.3">
      <c r="B38" s="2" t="s">
        <v>42</v>
      </c>
      <c r="C38" s="73" t="s">
        <v>43</v>
      </c>
      <c r="D38" s="73"/>
      <c r="E38" s="73"/>
      <c r="F38" s="73"/>
      <c r="G38" s="73"/>
      <c r="I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50</v>
      </c>
      <c r="Q38" t="s">
        <v>51</v>
      </c>
      <c r="S38" s="2" t="s">
        <v>42</v>
      </c>
      <c r="T38" t="s">
        <v>52</v>
      </c>
      <c r="U38" t="s">
        <v>53</v>
      </c>
      <c r="V38" t="s">
        <v>54</v>
      </c>
    </row>
    <row r="39" spans="2:22" x14ac:dyDescent="0.3">
      <c r="B39">
        <v>2000</v>
      </c>
      <c r="C39">
        <v>1</v>
      </c>
      <c r="D39">
        <v>3</v>
      </c>
      <c r="E39">
        <v>3</v>
      </c>
      <c r="F39">
        <v>4</v>
      </c>
      <c r="G39">
        <v>2</v>
      </c>
      <c r="I39">
        <f>AVERAGE(C39:G39)</f>
        <v>2.6</v>
      </c>
      <c r="K39">
        <f>_xlfn.STDEV.P(C39:G39)</f>
        <v>1.019803902718557</v>
      </c>
      <c r="L39">
        <f>-1*((U$64/T$64)+(K39/I39))*U39</f>
        <v>1.0304248710648034E-5</v>
      </c>
      <c r="M39">
        <f>-1*(L39/-U39+(2*0.001/0.08))*O39</f>
        <v>6.927519174814743E-8</v>
      </c>
      <c r="N39">
        <f>(2*100/B39)*P39</f>
        <v>7258.3356668538581</v>
      </c>
      <c r="O39">
        <f>U39*T$39^2</f>
        <v>-1.3312000000000002E-7</v>
      </c>
      <c r="P39">
        <f>0.038^2*B39^2*4*PI()</f>
        <v>72583.356668538574</v>
      </c>
      <c r="Q39">
        <f>(M39/O39+N39/P39)*V39</f>
        <v>3.0840784618826977E-12</v>
      </c>
      <c r="S39">
        <v>2000</v>
      </c>
      <c r="T39">
        <f>0.08</f>
        <v>0.08</v>
      </c>
      <c r="U39">
        <f>-I39*T$64</f>
        <v>-2.0800000000000001E-5</v>
      </c>
      <c r="V39">
        <f>(U39*(T$39^2))/((T$42^2)*(B39^2)*4*PI())</f>
        <v>-7.3361170444574488E-12</v>
      </c>
    </row>
    <row r="40" spans="2:22" x14ac:dyDescent="0.3">
      <c r="B40">
        <v>2500</v>
      </c>
      <c r="C40">
        <v>4</v>
      </c>
      <c r="D40">
        <v>3</v>
      </c>
      <c r="E40">
        <v>5</v>
      </c>
      <c r="F40">
        <v>3</v>
      </c>
      <c r="G40">
        <v>6</v>
      </c>
      <c r="I40">
        <f t="shared" ref="I40:I47" si="20">AVERAGE(C40:G40)</f>
        <v>4.2</v>
      </c>
      <c r="K40">
        <f t="shared" ref="K40:K59" si="21">_xlfn.STDEV.P(C40:G40)</f>
        <v>1.1661903789690602</v>
      </c>
      <c r="L40">
        <f t="shared" ref="L40:L59" si="22">-1*((U$64/T$64)+(K40/I40))*U40</f>
        <v>1.2795843590744103E-5</v>
      </c>
      <c r="M40">
        <f t="shared" ref="M40:M59" si="23">-1*(L40/-U40+(2*0.001/0.08))*O40</f>
        <v>8.7269398980762271E-8</v>
      </c>
      <c r="N40">
        <f t="shared" ref="N40:N47" si="24">(2*100/B40)*P40</f>
        <v>9072.9195835673236</v>
      </c>
      <c r="O40">
        <f t="shared" ref="O40:O59" si="25">U40*T$39^2</f>
        <v>-2.1504E-7</v>
      </c>
      <c r="P40">
        <f t="shared" ref="P40:P47" si="26">0.038^2*B40^2*4*PI()</f>
        <v>113411.49479459153</v>
      </c>
      <c r="Q40">
        <f t="shared" ref="Q40:Q59" si="27">(M40/O40+N40/P40)*V40</f>
        <v>2.4712203681880625E-12</v>
      </c>
      <c r="S40">
        <v>2500</v>
      </c>
      <c r="U40">
        <f t="shared" ref="U40:U59" si="28">-I40*T$64</f>
        <v>-3.3599999999999997E-5</v>
      </c>
      <c r="V40">
        <f t="shared" ref="V40:V47" si="29">(U40*(T$39^2))/((T$42^2)*(B40^2)*4*PI())</f>
        <v>-7.5844163905775449E-12</v>
      </c>
    </row>
    <row r="41" spans="2:22" x14ac:dyDescent="0.3">
      <c r="B41">
        <v>3000</v>
      </c>
      <c r="C41">
        <v>5</v>
      </c>
      <c r="D41">
        <v>6</v>
      </c>
      <c r="E41">
        <v>7</v>
      </c>
      <c r="F41">
        <v>7</v>
      </c>
      <c r="G41">
        <v>6</v>
      </c>
      <c r="I41">
        <f t="shared" si="20"/>
        <v>6.2</v>
      </c>
      <c r="K41">
        <f t="shared" si="21"/>
        <v>0.74833147735478833</v>
      </c>
      <c r="L41">
        <f t="shared" si="22"/>
        <v>1.1103601215444988E-5</v>
      </c>
      <c r="M41">
        <f t="shared" si="23"/>
        <v>7.8999047778847923E-8</v>
      </c>
      <c r="N41">
        <f t="shared" si="24"/>
        <v>10887.503500280787</v>
      </c>
      <c r="O41">
        <f t="shared" si="25"/>
        <v>-3.1744000000000002E-7</v>
      </c>
      <c r="P41">
        <f t="shared" si="26"/>
        <v>163312.55250421181</v>
      </c>
      <c r="Q41">
        <f t="shared" si="27"/>
        <v>1.4165814011311756E-12</v>
      </c>
      <c r="S41">
        <v>3000</v>
      </c>
      <c r="T41" t="s">
        <v>55</v>
      </c>
      <c r="U41">
        <f t="shared" si="28"/>
        <v>-4.9599999999999999E-5</v>
      </c>
      <c r="V41">
        <f t="shared" si="29"/>
        <v>-7.7750300300232779E-12</v>
      </c>
    </row>
    <row r="42" spans="2:22" x14ac:dyDescent="0.3">
      <c r="B42">
        <v>3500</v>
      </c>
      <c r="C42">
        <v>7</v>
      </c>
      <c r="D42">
        <v>9</v>
      </c>
      <c r="E42">
        <v>9</v>
      </c>
      <c r="F42">
        <v>7</v>
      </c>
      <c r="G42">
        <v>9</v>
      </c>
      <c r="I42">
        <f t="shared" si="20"/>
        <v>8.1999999999999993</v>
      </c>
      <c r="K42">
        <f t="shared" si="21"/>
        <v>0.9797958971132712</v>
      </c>
      <c r="L42">
        <f t="shared" si="22"/>
        <v>1.460594541112791E-5</v>
      </c>
      <c r="M42">
        <f t="shared" si="23"/>
        <v>1.0397405063121862E-7</v>
      </c>
      <c r="N42">
        <f t="shared" si="24"/>
        <v>12702.087416994251</v>
      </c>
      <c r="O42">
        <f t="shared" si="25"/>
        <v>-4.1983999999999998E-7</v>
      </c>
      <c r="P42">
        <f t="shared" si="26"/>
        <v>222286.52979739939</v>
      </c>
      <c r="Q42">
        <f t="shared" si="27"/>
        <v>1.4392809777769492E-12</v>
      </c>
      <c r="S42">
        <v>3500</v>
      </c>
      <c r="T42">
        <v>1.9E-2</v>
      </c>
      <c r="U42">
        <f t="shared" si="28"/>
        <v>-6.5599999999999995E-5</v>
      </c>
      <c r="V42">
        <f t="shared" si="29"/>
        <v>-7.5549337223925988E-12</v>
      </c>
    </row>
    <row r="43" spans="2:22" x14ac:dyDescent="0.3">
      <c r="B43">
        <v>4000</v>
      </c>
      <c r="C43">
        <v>12</v>
      </c>
      <c r="D43">
        <v>10</v>
      </c>
      <c r="E43">
        <v>10</v>
      </c>
      <c r="F43">
        <v>11</v>
      </c>
      <c r="G43">
        <v>12</v>
      </c>
      <c r="I43">
        <f t="shared" si="20"/>
        <v>11</v>
      </c>
      <c r="K43">
        <f t="shared" si="21"/>
        <v>0.89442719099991586</v>
      </c>
      <c r="L43">
        <f t="shared" si="22"/>
        <v>1.6233876134882152E-5</v>
      </c>
      <c r="M43">
        <f t="shared" si="23"/>
        <v>1.1797680726324576E-7</v>
      </c>
      <c r="N43">
        <f t="shared" si="24"/>
        <v>14516.671333707716</v>
      </c>
      <c r="O43">
        <f t="shared" si="25"/>
        <v>-5.6319999999999996E-7</v>
      </c>
      <c r="P43">
        <f t="shared" si="26"/>
        <v>290333.4266741543</v>
      </c>
      <c r="Q43">
        <f t="shared" si="27"/>
        <v>1.237429782607134E-12</v>
      </c>
      <c r="S43">
        <v>4000</v>
      </c>
      <c r="U43">
        <f t="shared" si="28"/>
        <v>-8.7999999999999998E-5</v>
      </c>
      <c r="V43">
        <f t="shared" si="29"/>
        <v>-7.7593545662530698E-12</v>
      </c>
    </row>
    <row r="44" spans="2:22" x14ac:dyDescent="0.3">
      <c r="B44">
        <v>4500</v>
      </c>
      <c r="C44">
        <v>12</v>
      </c>
      <c r="D44">
        <v>14</v>
      </c>
      <c r="E44">
        <v>14</v>
      </c>
      <c r="F44">
        <v>11</v>
      </c>
      <c r="G44">
        <v>14</v>
      </c>
      <c r="I44">
        <f t="shared" si="20"/>
        <v>13</v>
      </c>
      <c r="K44">
        <f t="shared" si="21"/>
        <v>1.2649110640673518</v>
      </c>
      <c r="L44">
        <f t="shared" si="22"/>
        <v>2.0848375957036696E-5</v>
      </c>
      <c r="M44">
        <f t="shared" si="23"/>
        <v>1.5006960612503487E-7</v>
      </c>
      <c r="N44">
        <f t="shared" si="24"/>
        <v>16331.25525042118</v>
      </c>
      <c r="O44">
        <f t="shared" si="25"/>
        <v>-6.6560000000000003E-7</v>
      </c>
      <c r="P44">
        <f t="shared" si="26"/>
        <v>367453.24313447654</v>
      </c>
      <c r="Q44">
        <f t="shared" si="27"/>
        <v>1.3115941813442421E-12</v>
      </c>
      <c r="S44">
        <v>4500</v>
      </c>
      <c r="U44">
        <f t="shared" si="28"/>
        <v>-1.0399999999999999E-4</v>
      </c>
      <c r="V44">
        <f t="shared" si="29"/>
        <v>-7.2455476982295785E-12</v>
      </c>
    </row>
    <row r="45" spans="2:22" x14ac:dyDescent="0.3">
      <c r="B45">
        <v>5000</v>
      </c>
      <c r="C45">
        <v>17</v>
      </c>
      <c r="D45">
        <v>17</v>
      </c>
      <c r="E45">
        <v>17</v>
      </c>
      <c r="F45">
        <v>15</v>
      </c>
      <c r="G45">
        <v>15</v>
      </c>
      <c r="I45">
        <f t="shared" si="20"/>
        <v>16.2</v>
      </c>
      <c r="K45">
        <f t="shared" si="21"/>
        <v>0.97979589711327131</v>
      </c>
      <c r="L45">
        <f t="shared" si="22"/>
        <v>2.1208460761588146E-5</v>
      </c>
      <c r="M45">
        <f t="shared" si="23"/>
        <v>1.5647014887416413E-7</v>
      </c>
      <c r="N45">
        <f t="shared" si="24"/>
        <v>18145.839167134647</v>
      </c>
      <c r="O45">
        <f t="shared" si="25"/>
        <v>-8.2943999999999989E-7</v>
      </c>
      <c r="P45">
        <f t="shared" si="26"/>
        <v>453645.97917836613</v>
      </c>
      <c r="Q45">
        <f t="shared" si="27"/>
        <v>1.0871256841951424E-12</v>
      </c>
      <c r="S45">
        <v>5000</v>
      </c>
      <c r="U45">
        <f t="shared" si="28"/>
        <v>-1.2959999999999998E-4</v>
      </c>
      <c r="V45">
        <f t="shared" si="29"/>
        <v>-7.3135443766283471E-12</v>
      </c>
    </row>
    <row r="46" spans="2:22" x14ac:dyDescent="0.3">
      <c r="B46">
        <v>5500</v>
      </c>
      <c r="C46">
        <v>20</v>
      </c>
      <c r="D46">
        <v>19</v>
      </c>
      <c r="E46">
        <v>19</v>
      </c>
      <c r="F46">
        <v>20</v>
      </c>
      <c r="G46">
        <v>20</v>
      </c>
      <c r="I46">
        <f t="shared" si="20"/>
        <v>19.600000000000001</v>
      </c>
      <c r="K46">
        <f t="shared" si="21"/>
        <v>0.4898979485566356</v>
      </c>
      <c r="L46">
        <f t="shared" si="22"/>
        <v>2.0095346197080667E-5</v>
      </c>
      <c r="M46">
        <f t="shared" si="23"/>
        <v>1.5369821566131625E-7</v>
      </c>
      <c r="N46">
        <f t="shared" si="24"/>
        <v>19960.423083848109</v>
      </c>
      <c r="O46">
        <f t="shared" si="25"/>
        <v>-1.0035200000000001E-6</v>
      </c>
      <c r="P46">
        <f t="shared" si="26"/>
        <v>548911.63480582298</v>
      </c>
      <c r="Q46">
        <f t="shared" si="27"/>
        <v>8.5410162121370676E-13</v>
      </c>
      <c r="S46">
        <v>5500</v>
      </c>
      <c r="U46">
        <f t="shared" si="28"/>
        <v>-1.5680000000000002E-4</v>
      </c>
      <c r="V46">
        <f t="shared" si="29"/>
        <v>-7.312798172733172E-12</v>
      </c>
    </row>
    <row r="47" spans="2:22" x14ac:dyDescent="0.3">
      <c r="B47">
        <v>6000</v>
      </c>
      <c r="C47">
        <v>25</v>
      </c>
      <c r="D47">
        <v>24</v>
      </c>
      <c r="E47">
        <v>23</v>
      </c>
      <c r="F47">
        <v>23</v>
      </c>
      <c r="G47">
        <v>23</v>
      </c>
      <c r="I47">
        <f t="shared" si="20"/>
        <v>23.6</v>
      </c>
      <c r="K47">
        <f t="shared" si="21"/>
        <v>0.79999999999999993</v>
      </c>
      <c r="L47">
        <f t="shared" si="22"/>
        <v>2.5877420283857693E-5</v>
      </c>
      <c r="M47">
        <f t="shared" si="23"/>
        <v>1.9582348981668923E-7</v>
      </c>
      <c r="N47">
        <f t="shared" si="24"/>
        <v>21775.007000561574</v>
      </c>
      <c r="O47">
        <f t="shared" si="25"/>
        <v>-1.2083200000000001E-6</v>
      </c>
      <c r="P47">
        <f t="shared" si="26"/>
        <v>653250.21001684724</v>
      </c>
      <c r="Q47">
        <f t="shared" si="27"/>
        <v>9.5244458615233755E-13</v>
      </c>
      <c r="S47">
        <v>6000</v>
      </c>
      <c r="U47">
        <f t="shared" si="28"/>
        <v>-1.8880000000000001E-4</v>
      </c>
      <c r="V47">
        <f t="shared" si="29"/>
        <v>-7.3988188995382797E-12</v>
      </c>
    </row>
    <row r="50" spans="1:27" x14ac:dyDescent="0.3">
      <c r="A50" t="s">
        <v>56</v>
      </c>
      <c r="B50" t="s">
        <v>57</v>
      </c>
      <c r="I50" t="s">
        <v>58</v>
      </c>
      <c r="AA50" t="s">
        <v>59</v>
      </c>
    </row>
    <row r="51" spans="1:27" x14ac:dyDescent="0.3">
      <c r="A51">
        <v>6000</v>
      </c>
      <c r="B51">
        <v>2000</v>
      </c>
      <c r="C51">
        <v>7</v>
      </c>
      <c r="D51">
        <v>7</v>
      </c>
      <c r="E51">
        <v>8</v>
      </c>
      <c r="F51">
        <v>8</v>
      </c>
      <c r="G51">
        <v>8</v>
      </c>
      <c r="I51">
        <f>AVERAGE(C51:G51)</f>
        <v>7.6</v>
      </c>
      <c r="K51">
        <f t="shared" si="21"/>
        <v>0.48989794855663565</v>
      </c>
      <c r="L51">
        <f t="shared" si="22"/>
        <v>1.0191573171390307E-5</v>
      </c>
      <c r="M51">
        <f>-1*(L51/-U51+(2*0.001/0.08))*O51</f>
        <v>7.4954068296897971E-8</v>
      </c>
      <c r="N51">
        <f t="shared" ref="N51:N59" si="30">2*100/B51</f>
        <v>0.1</v>
      </c>
      <c r="O51">
        <f t="shared" si="25"/>
        <v>-3.8911999999999998E-7</v>
      </c>
      <c r="P51">
        <f>0.038^2*B51*A$51*4*PI()</f>
        <v>217750.07000561574</v>
      </c>
      <c r="Q51">
        <f t="shared" si="27"/>
        <v>1.3768792743842136E-12</v>
      </c>
      <c r="U51">
        <f t="shared" si="28"/>
        <v>-6.0799999999999994E-5</v>
      </c>
      <c r="V51">
        <f>(U51*(T$39^2))/((T$42^2)*(A$51*B51)*4*PI())</f>
        <v>-7.1480114792149481E-12</v>
      </c>
      <c r="AA51">
        <f>AVERAGE(V39:V59)</f>
        <v>-7.4566351536398908E-12</v>
      </c>
    </row>
    <row r="52" spans="1:27" x14ac:dyDescent="0.3">
      <c r="B52">
        <v>2500</v>
      </c>
      <c r="C52">
        <v>11</v>
      </c>
      <c r="D52">
        <v>10</v>
      </c>
      <c r="E52">
        <v>11</v>
      </c>
      <c r="F52">
        <v>9</v>
      </c>
      <c r="G52">
        <v>9</v>
      </c>
      <c r="I52">
        <f t="shared" ref="I52:I59" si="31">AVERAGE(C52:G52)</f>
        <v>10</v>
      </c>
      <c r="K52">
        <f t="shared" si="21"/>
        <v>0.89442719099991586</v>
      </c>
      <c r="L52">
        <f t="shared" si="22"/>
        <v>1.540856171607462E-5</v>
      </c>
      <c r="M52">
        <f t="shared" si="23"/>
        <v>1.1141479498287759E-7</v>
      </c>
      <c r="N52">
        <f t="shared" si="30"/>
        <v>0.08</v>
      </c>
      <c r="O52">
        <f t="shared" si="25"/>
        <v>-5.1200000000000003E-7</v>
      </c>
      <c r="P52">
        <f t="shared" ref="P52:P59" si="32">0.038^2*B52*A$51*4*PI()</f>
        <v>272187.58750701969</v>
      </c>
      <c r="Q52">
        <f t="shared" si="27"/>
        <v>1.6373214593490899E-12</v>
      </c>
      <c r="U52">
        <f t="shared" si="28"/>
        <v>-7.9999999999999993E-5</v>
      </c>
      <c r="V52">
        <f t="shared" ref="V52:V59" si="33">(U52*(T$39^2))/((T$42^2)*(A$51*B52)*4*PI())</f>
        <v>-7.5242226096999463E-12</v>
      </c>
    </row>
    <row r="53" spans="1:27" x14ac:dyDescent="0.3">
      <c r="B53">
        <v>3000</v>
      </c>
      <c r="C53">
        <v>13</v>
      </c>
      <c r="D53">
        <v>11</v>
      </c>
      <c r="E53">
        <v>11</v>
      </c>
      <c r="F53">
        <v>12</v>
      </c>
      <c r="G53">
        <v>12</v>
      </c>
      <c r="I53">
        <f t="shared" si="31"/>
        <v>11.8</v>
      </c>
      <c r="K53">
        <f t="shared" si="21"/>
        <v>0.74833147735478822</v>
      </c>
      <c r="L53">
        <f t="shared" si="22"/>
        <v>1.5725361960767151E-5</v>
      </c>
      <c r="M53">
        <f t="shared" si="23"/>
        <v>1.1574631654890977E-7</v>
      </c>
      <c r="N53">
        <f t="shared" si="30"/>
        <v>6.6666666666666666E-2</v>
      </c>
      <c r="O53">
        <f t="shared" si="25"/>
        <v>-6.0416000000000003E-7</v>
      </c>
      <c r="P53">
        <f t="shared" si="32"/>
        <v>326625.10500842362</v>
      </c>
      <c r="Q53">
        <f t="shared" si="27"/>
        <v>1.4174806707803598E-12</v>
      </c>
      <c r="U53">
        <f t="shared" si="28"/>
        <v>-9.4400000000000004E-5</v>
      </c>
      <c r="V53">
        <f t="shared" si="33"/>
        <v>-7.3988188995382797E-12</v>
      </c>
    </row>
    <row r="54" spans="1:27" x14ac:dyDescent="0.3">
      <c r="B54">
        <v>3500</v>
      </c>
      <c r="C54">
        <v>15</v>
      </c>
      <c r="D54">
        <v>16</v>
      </c>
      <c r="E54">
        <v>14</v>
      </c>
      <c r="F54">
        <v>13</v>
      </c>
      <c r="G54">
        <v>14</v>
      </c>
      <c r="I54">
        <f t="shared" si="31"/>
        <v>14.4</v>
      </c>
      <c r="K54">
        <f t="shared" si="21"/>
        <v>1.0198039027185568</v>
      </c>
      <c r="L54">
        <f t="shared" si="22"/>
        <v>2.0042958852576876E-5</v>
      </c>
      <c r="M54">
        <f t="shared" si="23"/>
        <v>1.4670693665649201E-7</v>
      </c>
      <c r="N54">
        <f t="shared" si="30"/>
        <v>5.7142857142857141E-2</v>
      </c>
      <c r="O54">
        <f t="shared" si="25"/>
        <v>-7.3728E-7</v>
      </c>
      <c r="P54">
        <f t="shared" si="32"/>
        <v>381062.62250982755</v>
      </c>
      <c r="Q54">
        <f t="shared" si="27"/>
        <v>1.5399760294538231E-12</v>
      </c>
      <c r="U54">
        <f t="shared" si="28"/>
        <v>-1.1519999999999999E-4</v>
      </c>
      <c r="V54">
        <f t="shared" si="33"/>
        <v>-7.7392003985485155E-12</v>
      </c>
    </row>
    <row r="55" spans="1:27" x14ac:dyDescent="0.3">
      <c r="B55">
        <v>4000</v>
      </c>
      <c r="C55">
        <v>15</v>
      </c>
      <c r="D55">
        <v>15</v>
      </c>
      <c r="E55">
        <v>18</v>
      </c>
      <c r="F55">
        <v>16</v>
      </c>
      <c r="G55">
        <v>16</v>
      </c>
      <c r="I55">
        <f t="shared" si="31"/>
        <v>16</v>
      </c>
      <c r="K55">
        <f t="shared" si="21"/>
        <v>1.0954451150103321</v>
      </c>
      <c r="L55">
        <f t="shared" si="22"/>
        <v>2.1968591621003127E-5</v>
      </c>
      <c r="M55">
        <f t="shared" si="23"/>
        <v>1.6107898637442002E-7</v>
      </c>
      <c r="N55">
        <f t="shared" si="30"/>
        <v>0.05</v>
      </c>
      <c r="O55">
        <f t="shared" si="25"/>
        <v>-8.1920000000000003E-7</v>
      </c>
      <c r="P55">
        <f t="shared" si="32"/>
        <v>435500.14001123147</v>
      </c>
      <c r="Q55">
        <f t="shared" si="27"/>
        <v>1.4794841840232998E-12</v>
      </c>
      <c r="U55">
        <f t="shared" si="28"/>
        <v>-1.2799999999999999E-4</v>
      </c>
      <c r="V55">
        <f t="shared" si="33"/>
        <v>-7.5242226096999463E-12</v>
      </c>
    </row>
    <row r="56" spans="1:27" x14ac:dyDescent="0.3">
      <c r="B56">
        <v>4500</v>
      </c>
      <c r="C56">
        <v>17</v>
      </c>
      <c r="D56">
        <v>19</v>
      </c>
      <c r="E56">
        <v>17</v>
      </c>
      <c r="F56">
        <v>18</v>
      </c>
      <c r="G56">
        <v>19</v>
      </c>
      <c r="I56">
        <f t="shared" si="31"/>
        <v>18</v>
      </c>
      <c r="K56">
        <f t="shared" si="21"/>
        <v>0.89442719099991586</v>
      </c>
      <c r="L56">
        <f t="shared" si="22"/>
        <v>2.2011077066534855E-5</v>
      </c>
      <c r="M56">
        <f t="shared" si="23"/>
        <v>1.6391089322582309E-7</v>
      </c>
      <c r="N56">
        <f t="shared" si="30"/>
        <v>4.4444444444444446E-2</v>
      </c>
      <c r="O56">
        <f t="shared" si="25"/>
        <v>-9.216000000000001E-7</v>
      </c>
      <c r="P56">
        <f t="shared" si="32"/>
        <v>489937.6575126354</v>
      </c>
      <c r="Q56">
        <f t="shared" si="27"/>
        <v>1.3382176863522469E-12</v>
      </c>
      <c r="U56">
        <f t="shared" si="28"/>
        <v>-1.44E-4</v>
      </c>
      <c r="V56">
        <f t="shared" si="33"/>
        <v>-7.5242226096999463E-12</v>
      </c>
    </row>
    <row r="57" spans="1:27" x14ac:dyDescent="0.3">
      <c r="B57">
        <v>5000</v>
      </c>
      <c r="C57">
        <v>19</v>
      </c>
      <c r="D57">
        <v>20</v>
      </c>
      <c r="E57">
        <v>20</v>
      </c>
      <c r="F57">
        <v>20</v>
      </c>
      <c r="G57">
        <v>19</v>
      </c>
      <c r="I57">
        <f t="shared" si="31"/>
        <v>19.600000000000001</v>
      </c>
      <c r="K57">
        <f t="shared" si="21"/>
        <v>0.4898979485566356</v>
      </c>
      <c r="L57">
        <f t="shared" si="22"/>
        <v>2.0095346197080667E-5</v>
      </c>
      <c r="M57">
        <f t="shared" si="23"/>
        <v>1.5369821566131625E-7</v>
      </c>
      <c r="N57">
        <f t="shared" si="30"/>
        <v>0.04</v>
      </c>
      <c r="O57">
        <f t="shared" si="25"/>
        <v>-1.0035200000000001E-6</v>
      </c>
      <c r="P57">
        <f t="shared" si="32"/>
        <v>544375.17501403939</v>
      </c>
      <c r="Q57">
        <f t="shared" si="27"/>
        <v>1.1293545259110746E-12</v>
      </c>
      <c r="U57">
        <f t="shared" si="28"/>
        <v>-1.5680000000000002E-4</v>
      </c>
      <c r="V57">
        <f t="shared" si="33"/>
        <v>-7.3737381575059473E-12</v>
      </c>
    </row>
    <row r="58" spans="1:27" x14ac:dyDescent="0.3">
      <c r="B58">
        <v>5500</v>
      </c>
      <c r="C58">
        <v>21</v>
      </c>
      <c r="D58">
        <v>21</v>
      </c>
      <c r="E58">
        <v>21</v>
      </c>
      <c r="F58">
        <v>21</v>
      </c>
      <c r="G58">
        <v>21</v>
      </c>
      <c r="I58">
        <f t="shared" si="31"/>
        <v>21</v>
      </c>
      <c r="K58">
        <f t="shared" si="21"/>
        <v>0</v>
      </c>
      <c r="L58">
        <f t="shared" si="22"/>
        <v>1.7331602794958118E-5</v>
      </c>
      <c r="M58">
        <f t="shared" si="23"/>
        <v>1.3780225788773194E-7</v>
      </c>
      <c r="N58">
        <f t="shared" si="30"/>
        <v>3.6363636363636362E-2</v>
      </c>
      <c r="O58">
        <f t="shared" si="25"/>
        <v>-1.0751999999999999E-6</v>
      </c>
      <c r="P58">
        <f t="shared" si="32"/>
        <v>598812.69251544331</v>
      </c>
      <c r="Q58">
        <f t="shared" si="27"/>
        <v>9.2050281710645066E-13</v>
      </c>
      <c r="U58">
        <f t="shared" si="28"/>
        <v>-1.6799999999999999E-4</v>
      </c>
      <c r="V58">
        <f t="shared" si="33"/>
        <v>-7.1822124910772203E-12</v>
      </c>
    </row>
    <row r="59" spans="1:27" x14ac:dyDescent="0.3">
      <c r="B59">
        <v>6000</v>
      </c>
      <c r="C59">
        <v>24</v>
      </c>
      <c r="D59">
        <v>24</v>
      </c>
      <c r="E59">
        <v>25</v>
      </c>
      <c r="F59">
        <v>23</v>
      </c>
      <c r="G59">
        <v>24</v>
      </c>
      <c r="I59">
        <f t="shared" si="31"/>
        <v>24</v>
      </c>
      <c r="K59">
        <f t="shared" si="21"/>
        <v>0.63245553203367588</v>
      </c>
      <c r="L59">
        <f t="shared" si="22"/>
        <v>2.4867190307650112E-5</v>
      </c>
      <c r="M59">
        <f t="shared" si="23"/>
        <v>1.8987001796896072E-7</v>
      </c>
      <c r="N59">
        <f t="shared" si="30"/>
        <v>3.3333333333333333E-2</v>
      </c>
      <c r="O59">
        <f t="shared" si="25"/>
        <v>-1.2288E-6</v>
      </c>
      <c r="P59">
        <f t="shared" si="32"/>
        <v>653250.21001684724</v>
      </c>
      <c r="Q59">
        <f t="shared" si="27"/>
        <v>1.1626170331408477E-12</v>
      </c>
      <c r="U59">
        <f t="shared" si="28"/>
        <v>-1.92E-4</v>
      </c>
      <c r="V59">
        <f t="shared" si="33"/>
        <v>-7.5242226096999463E-12</v>
      </c>
    </row>
    <row r="62" spans="1:27" ht="15" thickBot="1" x14ac:dyDescent="0.35">
      <c r="A62" s="2"/>
      <c r="B62" s="77" t="s">
        <v>60</v>
      </c>
      <c r="C62" s="77"/>
      <c r="D62" s="77"/>
    </row>
    <row r="63" spans="1:27" ht="15" thickBot="1" x14ac:dyDescent="0.35">
      <c r="A63" t="s">
        <v>61</v>
      </c>
      <c r="B63" s="13" t="s">
        <v>62</v>
      </c>
      <c r="C63" s="74" t="s">
        <v>63</v>
      </c>
      <c r="D63" s="75"/>
      <c r="E63" s="76"/>
      <c r="F63" t="s">
        <v>64</v>
      </c>
      <c r="G63" s="22" t="s">
        <v>65</v>
      </c>
      <c r="H63" t="s">
        <v>66</v>
      </c>
      <c r="I63" t="s">
        <v>67</v>
      </c>
      <c r="K63" t="s">
        <v>68</v>
      </c>
      <c r="L63" t="s">
        <v>69</v>
      </c>
      <c r="M63" t="s">
        <v>70</v>
      </c>
      <c r="S63" t="s">
        <v>71</v>
      </c>
      <c r="T63" s="8" t="s">
        <v>72</v>
      </c>
      <c r="U63" t="s">
        <v>73</v>
      </c>
      <c r="V63" t="s">
        <v>74</v>
      </c>
      <c r="W63" t="s">
        <v>75</v>
      </c>
      <c r="Y63" s="8" t="s">
        <v>76</v>
      </c>
    </row>
    <row r="64" spans="1:27" x14ac:dyDescent="0.3">
      <c r="A64">
        <f>B64*9.81/1000000</f>
        <v>1.9620000000000003E-4</v>
      </c>
      <c r="B64" s="14">
        <v>20</v>
      </c>
      <c r="C64" s="14">
        <v>18</v>
      </c>
      <c r="D64" s="15">
        <v>29</v>
      </c>
      <c r="E64" s="16">
        <v>22</v>
      </c>
      <c r="F64">
        <f>A64/T$64</f>
        <v>24.525000000000006</v>
      </c>
      <c r="G64">
        <f>B64/9.81</f>
        <v>2.038735983690112</v>
      </c>
      <c r="H64">
        <f>AVERAGE(C64:E64)</f>
        <v>23</v>
      </c>
      <c r="I64">
        <f>(S64/H64)+(U$64/T$64)</f>
        <v>0.14664256322050639</v>
      </c>
      <c r="K64">
        <f>2*PI()*H64/360</f>
        <v>0.40142572795869574</v>
      </c>
      <c r="L64">
        <f>2*PI()/360</f>
        <v>1.7453292519943295E-2</v>
      </c>
      <c r="M64">
        <f>(L64/K64)+(U64/T64)</f>
        <v>0.14664256322050639</v>
      </c>
      <c r="S64">
        <v>1</v>
      </c>
      <c r="T64" s="8">
        <f>8*10^(-6)</f>
        <v>7.9999999999999996E-6</v>
      </c>
      <c r="U64">
        <f>S74*SQRT(5/U74)</f>
        <v>8.253144188075294E-7</v>
      </c>
      <c r="V64">
        <f>B51*6000/(0.08^2)</f>
        <v>1875000000</v>
      </c>
      <c r="W64">
        <f>V64*T$64*T$67^2</f>
        <v>6.6973767538622371E-20</v>
      </c>
      <c r="Y64" s="8">
        <f>T$64*H64</f>
        <v>1.84E-4</v>
      </c>
      <c r="AA64">
        <f>Y64/(T$64*V64)</f>
        <v>1.2266666666666667E-8</v>
      </c>
    </row>
    <row r="65" spans="1:27" x14ac:dyDescent="0.3">
      <c r="A65">
        <f t="shared" ref="A65:A68" si="34">B65*9.81/1000000</f>
        <v>3.9240000000000005E-4</v>
      </c>
      <c r="B65" s="17">
        <v>40</v>
      </c>
      <c r="C65" s="17">
        <v>49</v>
      </c>
      <c r="D65" s="4">
        <v>50</v>
      </c>
      <c r="E65" s="18">
        <v>48</v>
      </c>
      <c r="F65">
        <f t="shared" ref="F65:F68" si="35">T$64*A65</f>
        <v>3.1392000000000001E-9</v>
      </c>
      <c r="G65">
        <f>B65/9.81</f>
        <v>4.077471967380224</v>
      </c>
      <c r="H65">
        <f t="shared" ref="H65:H68" si="36">AVERAGE(C65:E65)</f>
        <v>49</v>
      </c>
      <c r="I65">
        <f t="shared" ref="I65:I68" si="37">(S65/H65)+(U$64/T$64)</f>
        <v>0.1235724656162473</v>
      </c>
      <c r="K65">
        <f t="shared" ref="K65:K68" si="38">2*PI()*H65/360</f>
        <v>0.85521133347722145</v>
      </c>
      <c r="L65">
        <f t="shared" ref="L65:L68" si="39">2*PI()/360</f>
        <v>1.7453292519943295E-2</v>
      </c>
      <c r="S65">
        <v>1</v>
      </c>
      <c r="V65">
        <f t="shared" ref="V65:V72" si="40">B52*6000/(0.08^2)</f>
        <v>2343750000</v>
      </c>
      <c r="W65">
        <f t="shared" ref="W65:W72" si="41">V65*T$64*T$67^2</f>
        <v>8.3717209423277963E-20</v>
      </c>
      <c r="Y65" s="8">
        <f t="shared" ref="Y65:Y67" si="42">T$64*H65</f>
        <v>3.9199999999999999E-4</v>
      </c>
      <c r="AA65">
        <f t="shared" ref="AA65:AA68" si="43">Y65/(T$64*V65)</f>
        <v>2.0906666666666667E-8</v>
      </c>
    </row>
    <row r="66" spans="1:27" x14ac:dyDescent="0.3">
      <c r="A66">
        <f t="shared" si="34"/>
        <v>4.9050000000000005E-4</v>
      </c>
      <c r="B66" s="17">
        <v>50</v>
      </c>
      <c r="C66" s="17">
        <v>53</v>
      </c>
      <c r="D66" s="4">
        <v>55</v>
      </c>
      <c r="E66" s="18">
        <v>54</v>
      </c>
      <c r="F66">
        <f t="shared" si="35"/>
        <v>3.9240000000000001E-9</v>
      </c>
      <c r="G66">
        <f>B66/9.81</f>
        <v>5.0968399592252798</v>
      </c>
      <c r="H66">
        <f t="shared" si="36"/>
        <v>54</v>
      </c>
      <c r="I66">
        <f t="shared" si="37"/>
        <v>0.1216828208694597</v>
      </c>
      <c r="K66">
        <f t="shared" si="38"/>
        <v>0.94247779607693793</v>
      </c>
      <c r="L66">
        <f t="shared" si="39"/>
        <v>1.7453292519943295E-2</v>
      </c>
      <c r="S66">
        <v>1</v>
      </c>
      <c r="T66" t="s">
        <v>77</v>
      </c>
      <c r="V66">
        <f t="shared" si="40"/>
        <v>2812500000</v>
      </c>
      <c r="W66">
        <f t="shared" si="41"/>
        <v>1.0046065130793354E-19</v>
      </c>
      <c r="Y66" s="8">
        <f t="shared" si="42"/>
        <v>4.3199999999999998E-4</v>
      </c>
      <c r="AA66">
        <f t="shared" si="43"/>
        <v>1.92E-8</v>
      </c>
    </row>
    <row r="67" spans="1:27" x14ac:dyDescent="0.3">
      <c r="A67">
        <f t="shared" si="34"/>
        <v>6.8670000000000005E-4</v>
      </c>
      <c r="B67" s="17">
        <v>70</v>
      </c>
      <c r="C67" s="17">
        <v>68</v>
      </c>
      <c r="D67" s="4">
        <v>72</v>
      </c>
      <c r="E67" s="18">
        <v>78</v>
      </c>
      <c r="F67">
        <f t="shared" si="35"/>
        <v>5.4936000000000001E-9</v>
      </c>
      <c r="G67">
        <f>B67/9.81</f>
        <v>7.1355759429153922</v>
      </c>
      <c r="H67">
        <f t="shared" si="36"/>
        <v>72.666666666666671</v>
      </c>
      <c r="I67">
        <f t="shared" si="37"/>
        <v>0.11692577024084944</v>
      </c>
      <c r="K67">
        <f t="shared" si="38"/>
        <v>1.2682725897825462</v>
      </c>
      <c r="L67">
        <f t="shared" si="39"/>
        <v>1.7453292519943295E-2</v>
      </c>
      <c r="S67">
        <v>1</v>
      </c>
      <c r="T67">
        <f>4*PI()*8.85*10^(-12)*1.9*10^(-2)</f>
        <v>2.1130352188044945E-12</v>
      </c>
      <c r="V67">
        <f t="shared" si="40"/>
        <v>3281250000</v>
      </c>
      <c r="W67">
        <f t="shared" si="41"/>
        <v>1.1720409319258914E-19</v>
      </c>
      <c r="Y67" s="8">
        <f t="shared" si="42"/>
        <v>5.8133333333333333E-4</v>
      </c>
      <c r="AA67">
        <f t="shared" si="43"/>
        <v>2.2146031746031745E-8</v>
      </c>
    </row>
    <row r="68" spans="1:27" ht="15" thickBot="1" x14ac:dyDescent="0.35">
      <c r="A68">
        <f t="shared" si="34"/>
        <v>8.8290000000000005E-4</v>
      </c>
      <c r="B68" s="19">
        <v>90</v>
      </c>
      <c r="C68" s="19">
        <v>123</v>
      </c>
      <c r="D68" s="20">
        <v>106</v>
      </c>
      <c r="E68" s="21">
        <v>114</v>
      </c>
      <c r="F68">
        <f t="shared" si="35"/>
        <v>7.0632000000000002E-9</v>
      </c>
      <c r="G68">
        <f>B68/9.81</f>
        <v>9.1743119266055047</v>
      </c>
      <c r="H68">
        <f t="shared" si="36"/>
        <v>114.33333333333333</v>
      </c>
      <c r="I68">
        <f t="shared" si="37"/>
        <v>0.11191065803607238</v>
      </c>
      <c r="K68">
        <f t="shared" si="38"/>
        <v>1.9954931114468502</v>
      </c>
      <c r="L68">
        <f t="shared" si="39"/>
        <v>1.7453292519943295E-2</v>
      </c>
      <c r="S68">
        <v>1</v>
      </c>
      <c r="V68">
        <f t="shared" si="40"/>
        <v>3750000000</v>
      </c>
      <c r="W68">
        <f t="shared" si="41"/>
        <v>1.3394753507724474E-19</v>
      </c>
      <c r="Y68" s="8">
        <f>T$64*H68</f>
        <v>9.146666666666666E-4</v>
      </c>
      <c r="AA68">
        <f t="shared" si="43"/>
        <v>3.0488888888888888E-8</v>
      </c>
    </row>
    <row r="69" spans="1:27" x14ac:dyDescent="0.3">
      <c r="T69" t="s">
        <v>78</v>
      </c>
      <c r="V69">
        <f t="shared" si="40"/>
        <v>4218750000</v>
      </c>
      <c r="W69">
        <f t="shared" si="41"/>
        <v>1.5069097696190032E-19</v>
      </c>
    </row>
    <row r="70" spans="1:27" x14ac:dyDescent="0.3">
      <c r="F70" t="s">
        <v>79</v>
      </c>
      <c r="V70">
        <f t="shared" si="40"/>
        <v>4687500000</v>
      </c>
      <c r="W70">
        <f t="shared" si="41"/>
        <v>1.6743441884655593E-19</v>
      </c>
    </row>
    <row r="71" spans="1:27" x14ac:dyDescent="0.3">
      <c r="F71" t="e" cm="1">
        <f t="array" ref="F71">radq</f>
        <v>#NAME?</v>
      </c>
      <c r="V71">
        <f t="shared" si="40"/>
        <v>5156250000</v>
      </c>
      <c r="W71">
        <f t="shared" si="41"/>
        <v>1.8417786073121151E-19</v>
      </c>
    </row>
    <row r="72" spans="1:27" x14ac:dyDescent="0.3">
      <c r="V72">
        <f t="shared" si="40"/>
        <v>5625000000</v>
      </c>
      <c r="W72">
        <f t="shared" si="41"/>
        <v>2.0092130261586709E-19</v>
      </c>
    </row>
    <row r="73" spans="1:27" x14ac:dyDescent="0.3">
      <c r="H73" t="s">
        <v>80</v>
      </c>
      <c r="S73" t="s">
        <v>81</v>
      </c>
      <c r="U73" t="s">
        <v>14</v>
      </c>
    </row>
    <row r="74" spans="1:27" x14ac:dyDescent="0.3">
      <c r="H74">
        <f>(A64-T$64*H64)^2</f>
        <v>1.4884000000000062E-10</v>
      </c>
      <c r="S74">
        <f>SQRT((1/5) * SUM(H74:H79))</f>
        <v>5.6004474027626702E-5</v>
      </c>
      <c r="U74">
        <f>5*SUM(U78:U82)-(SUM(H64:H68))^2</f>
        <v>23023.777777777781</v>
      </c>
    </row>
    <row r="75" spans="1:27" x14ac:dyDescent="0.3">
      <c r="H75">
        <f>(A65-T$64*H65)^2</f>
        <v>1.6000000000005114E-13</v>
      </c>
    </row>
    <row r="76" spans="1:27" x14ac:dyDescent="0.3">
      <c r="H76">
        <f>(A66-T$64*H66)^2</f>
        <v>3.4222500000000077E-9</v>
      </c>
      <c r="S76" t="s">
        <v>82</v>
      </c>
      <c r="X76" t="s">
        <v>83</v>
      </c>
    </row>
    <row r="77" spans="1:27" x14ac:dyDescent="0.3">
      <c r="B77" t="s">
        <v>84</v>
      </c>
      <c r="H77">
        <f>(A67-T$64*H67)^2</f>
        <v>1.1102134444444455E-8</v>
      </c>
      <c r="U77" t="s">
        <v>85</v>
      </c>
    </row>
    <row r="78" spans="1:27" x14ac:dyDescent="0.3">
      <c r="B78" t="s">
        <v>86</v>
      </c>
      <c r="H78">
        <f>(A68-T$64*H68)^2</f>
        <v>1.0091211111111039E-9</v>
      </c>
      <c r="U78">
        <f>H64^2</f>
        <v>529</v>
      </c>
    </row>
    <row r="79" spans="1:27" x14ac:dyDescent="0.3">
      <c r="B79" t="s">
        <v>87</v>
      </c>
      <c r="U79">
        <f t="shared" ref="U79:U82" si="44">H65^2</f>
        <v>2401</v>
      </c>
    </row>
    <row r="80" spans="1:27" x14ac:dyDescent="0.3">
      <c r="U80">
        <f t="shared" si="44"/>
        <v>2916</v>
      </c>
    </row>
    <row r="81" spans="21:25" x14ac:dyDescent="0.3">
      <c r="U81">
        <f t="shared" si="44"/>
        <v>5280.4444444444453</v>
      </c>
    </row>
    <row r="82" spans="21:25" x14ac:dyDescent="0.3">
      <c r="U82">
        <f t="shared" si="44"/>
        <v>13072.111111111109</v>
      </c>
    </row>
    <row r="85" spans="21:25" x14ac:dyDescent="0.3">
      <c r="W85" t="s">
        <v>47</v>
      </c>
      <c r="Y85" t="s">
        <v>88</v>
      </c>
    </row>
    <row r="86" spans="21:25" x14ac:dyDescent="0.3">
      <c r="W86">
        <f>(I64/Y64)+(2*0.001/0.08)</f>
        <v>796.99545228536078</v>
      </c>
    </row>
  </sheetData>
  <mergeCells count="4">
    <mergeCell ref="C2:G2"/>
    <mergeCell ref="C38:G38"/>
    <mergeCell ref="C63:E63"/>
    <mergeCell ref="B62:D62"/>
  </mergeCells>
  <hyperlinks>
    <hyperlink ref="A12" r:id="rId1" xr:uid="{B5F92B94-16F5-4115-8264-4AEBD3399FD3}"/>
    <hyperlink ref="A13" r:id="rId2" xr:uid="{40DB18CF-7AC7-42E8-8E62-85A4215CA32F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6840-0E03-47BA-939E-790203F745B5}">
  <dimension ref="A3:Y185"/>
  <sheetViews>
    <sheetView tabSelected="1" workbookViewId="0">
      <selection activeCell="T7" sqref="T7"/>
    </sheetView>
  </sheetViews>
  <sheetFormatPr defaultRowHeight="14.4" x14ac:dyDescent="0.3"/>
  <cols>
    <col min="2" max="2" width="12.44140625" customWidth="1"/>
    <col min="6" max="6" width="11.109375" bestFit="1" customWidth="1"/>
    <col min="8" max="8" width="11.109375" bestFit="1" customWidth="1"/>
    <col min="13" max="13" width="11.6640625" bestFit="1" customWidth="1"/>
    <col min="15" max="15" width="12.109375" bestFit="1" customWidth="1"/>
    <col min="17" max="17" width="12.109375" bestFit="1" customWidth="1"/>
    <col min="18" max="18" width="15.33203125" customWidth="1"/>
    <col min="19" max="19" width="14.109375" customWidth="1"/>
    <col min="20" max="20" width="13.5546875" bestFit="1" customWidth="1"/>
    <col min="21" max="21" width="13" bestFit="1" customWidth="1"/>
    <col min="25" max="25" width="13" bestFit="1" customWidth="1"/>
  </cols>
  <sheetData>
    <row r="3" spans="2:25" x14ac:dyDescent="0.3">
      <c r="B3" s="85" t="s">
        <v>89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</row>
    <row r="4" spans="2:25" x14ac:dyDescent="0.3"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</row>
    <row r="5" spans="2:25" x14ac:dyDescent="0.3"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9" spans="2:25" ht="18" customHeight="1" x14ac:dyDescent="0.3">
      <c r="B9" s="48" t="s">
        <v>1</v>
      </c>
      <c r="C9" s="78" t="s">
        <v>2</v>
      </c>
      <c r="D9" s="79"/>
      <c r="E9" s="79"/>
      <c r="F9" s="79"/>
      <c r="G9" s="79"/>
      <c r="H9" s="51" t="s">
        <v>3</v>
      </c>
      <c r="L9" s="46" t="s">
        <v>7</v>
      </c>
      <c r="M9" s="47" t="s">
        <v>8</v>
      </c>
      <c r="O9" s="39" t="s">
        <v>5</v>
      </c>
      <c r="R9" s="7" t="s">
        <v>90</v>
      </c>
      <c r="Y9" s="12"/>
    </row>
    <row r="10" spans="2:25" x14ac:dyDescent="0.3">
      <c r="B10" s="34">
        <v>0.04</v>
      </c>
      <c r="C10" s="37">
        <v>57</v>
      </c>
      <c r="D10" s="38">
        <v>58</v>
      </c>
      <c r="E10" s="38">
        <v>57</v>
      </c>
      <c r="F10" s="38">
        <v>57</v>
      </c>
      <c r="G10" s="38">
        <v>57</v>
      </c>
      <c r="H10" s="40">
        <f t="shared" ref="H10:H15" si="0">(C10+D10+E10+F10+G10)/5</f>
        <v>57.2</v>
      </c>
      <c r="L10" s="42">
        <f t="shared" ref="L10:L15" si="1">_xlfn.STDEV.S(C10,D10,E10,F10,G10)</f>
        <v>0.44721359549995793</v>
      </c>
      <c r="M10" s="43">
        <f t="shared" ref="M10:M15" si="2">_xlfn.STDEV.P(C10:G10)</f>
        <v>0.4</v>
      </c>
      <c r="O10">
        <f t="shared" ref="O10:O15" si="3">SQRT(((H10-C10)^2+(H10-D10)^2+(H10-E10)^2+(H10-F10)^2+(H10-G10)^2)/5)</f>
        <v>0.4</v>
      </c>
      <c r="R10">
        <f>AVERAGE(O10:O15)</f>
        <v>0.86031065210458724</v>
      </c>
    </row>
    <row r="11" spans="2:25" x14ac:dyDescent="0.3">
      <c r="B11" s="34">
        <v>7.0000000000000007E-2</v>
      </c>
      <c r="C11" s="34">
        <v>31</v>
      </c>
      <c r="D11" s="1">
        <v>31</v>
      </c>
      <c r="E11" s="1">
        <v>28</v>
      </c>
      <c r="F11" s="1">
        <v>30</v>
      </c>
      <c r="G11" s="1">
        <v>29</v>
      </c>
      <c r="H11" s="40">
        <f t="shared" si="0"/>
        <v>29.8</v>
      </c>
      <c r="L11" s="42">
        <f t="shared" si="1"/>
        <v>1.3038404810405297</v>
      </c>
      <c r="M11" s="43">
        <f t="shared" si="2"/>
        <v>1.1661903789690602</v>
      </c>
      <c r="O11">
        <f t="shared" si="3"/>
        <v>1.1661903789690602</v>
      </c>
    </row>
    <row r="12" spans="2:25" x14ac:dyDescent="0.3">
      <c r="B12" s="34">
        <v>0.1</v>
      </c>
      <c r="C12" s="34">
        <v>16</v>
      </c>
      <c r="D12" s="1">
        <v>15</v>
      </c>
      <c r="E12" s="1">
        <v>15</v>
      </c>
      <c r="F12" s="1">
        <v>16</v>
      </c>
      <c r="G12" s="1">
        <v>15</v>
      </c>
      <c r="H12" s="40">
        <f t="shared" si="0"/>
        <v>15.4</v>
      </c>
      <c r="I12" s="4"/>
      <c r="L12" s="42">
        <f t="shared" si="1"/>
        <v>0.54772255750516619</v>
      </c>
      <c r="M12" s="43">
        <f t="shared" si="2"/>
        <v>0.48989794855663565</v>
      </c>
      <c r="O12">
        <f t="shared" si="3"/>
        <v>0.48989794855663565</v>
      </c>
    </row>
    <row r="13" spans="2:25" x14ac:dyDescent="0.3">
      <c r="B13" s="34">
        <v>0.13</v>
      </c>
      <c r="C13" s="34">
        <v>9</v>
      </c>
      <c r="D13" s="1">
        <v>8</v>
      </c>
      <c r="E13" s="1">
        <v>8</v>
      </c>
      <c r="F13" s="1">
        <v>7</v>
      </c>
      <c r="G13" s="1">
        <v>8</v>
      </c>
      <c r="H13" s="40">
        <f t="shared" si="0"/>
        <v>8</v>
      </c>
      <c r="L13" s="42">
        <f t="shared" si="1"/>
        <v>0.70710678118654757</v>
      </c>
      <c r="M13" s="43">
        <f t="shared" si="2"/>
        <v>0.63245553203367588</v>
      </c>
      <c r="O13">
        <f t="shared" si="3"/>
        <v>0.63245553203367588</v>
      </c>
    </row>
    <row r="14" spans="2:25" x14ac:dyDescent="0.3">
      <c r="B14" s="34">
        <v>0.16</v>
      </c>
      <c r="C14" s="34">
        <v>5</v>
      </c>
      <c r="D14" s="1">
        <v>5</v>
      </c>
      <c r="E14" s="1">
        <v>8</v>
      </c>
      <c r="F14" s="1">
        <v>3</v>
      </c>
      <c r="G14" s="1">
        <v>4</v>
      </c>
      <c r="H14" s="40">
        <f t="shared" si="0"/>
        <v>5</v>
      </c>
      <c r="L14" s="42">
        <f t="shared" si="1"/>
        <v>1.8708286933869707</v>
      </c>
      <c r="M14" s="43">
        <f t="shared" si="2"/>
        <v>1.6733200530681511</v>
      </c>
      <c r="O14">
        <f t="shared" si="3"/>
        <v>1.6733200530681511</v>
      </c>
    </row>
    <row r="15" spans="2:25" x14ac:dyDescent="0.3">
      <c r="B15" s="35">
        <v>0.19</v>
      </c>
      <c r="C15" s="35">
        <v>4</v>
      </c>
      <c r="D15" s="36">
        <v>4</v>
      </c>
      <c r="E15" s="36">
        <v>4</v>
      </c>
      <c r="F15" s="36">
        <v>5</v>
      </c>
      <c r="G15" s="36">
        <v>6</v>
      </c>
      <c r="H15" s="41">
        <f t="shared" si="0"/>
        <v>4.5999999999999996</v>
      </c>
      <c r="L15" s="44">
        <f t="shared" si="1"/>
        <v>0.8944271909999163</v>
      </c>
      <c r="M15" s="45">
        <f t="shared" si="2"/>
        <v>0.8</v>
      </c>
      <c r="O15">
        <f t="shared" si="3"/>
        <v>0.8</v>
      </c>
    </row>
    <row r="18" spans="1:20" x14ac:dyDescent="0.3">
      <c r="B18" s="57" t="s">
        <v>3</v>
      </c>
      <c r="C18" s="58"/>
      <c r="D18" s="59" t="s">
        <v>4</v>
      </c>
      <c r="E18" s="58"/>
      <c r="F18" s="59" t="s">
        <v>11</v>
      </c>
      <c r="G18" s="58"/>
      <c r="H18" s="59" t="s">
        <v>1</v>
      </c>
      <c r="I18" s="58"/>
      <c r="J18" s="59" t="s">
        <v>12</v>
      </c>
      <c r="K18" s="58"/>
      <c r="L18" s="59" t="s">
        <v>0</v>
      </c>
      <c r="M18" s="58"/>
      <c r="N18" s="60" t="s">
        <v>13</v>
      </c>
    </row>
    <row r="19" spans="1:20" x14ac:dyDescent="0.3">
      <c r="A19" s="6"/>
      <c r="B19" s="61">
        <f t="shared" ref="B19:B24" si="4">SUM(C10:G10)/5</f>
        <v>57.2</v>
      </c>
      <c r="C19" s="33"/>
      <c r="D19" s="33">
        <f t="shared" ref="D19:D24" si="5">H10^2</f>
        <v>3271.84</v>
      </c>
      <c r="E19" s="33"/>
      <c r="F19" s="33">
        <f t="shared" ref="F19:F24" si="6">LN(B19)</f>
        <v>4.0465538983857519</v>
      </c>
      <c r="G19" s="33"/>
      <c r="H19" s="52">
        <v>0.04</v>
      </c>
      <c r="I19" s="33"/>
      <c r="J19" s="33">
        <f t="shared" ref="J19:J24" si="7">LN(H19)</f>
        <v>-3.2188758248682006</v>
      </c>
      <c r="K19" s="33"/>
      <c r="L19" s="33">
        <f t="shared" ref="L19:L24" si="8">1/(B10^2)</f>
        <v>625</v>
      </c>
      <c r="M19" s="33"/>
      <c r="N19" s="62" t="s">
        <v>19</v>
      </c>
    </row>
    <row r="20" spans="1:20" x14ac:dyDescent="0.3">
      <c r="A20" s="6"/>
      <c r="B20" s="61">
        <f t="shared" si="4"/>
        <v>29.8</v>
      </c>
      <c r="C20" s="33"/>
      <c r="D20" s="33">
        <f t="shared" si="5"/>
        <v>888.04000000000008</v>
      </c>
      <c r="E20" s="33"/>
      <c r="F20" s="33">
        <f t="shared" si="6"/>
        <v>3.3945083935113587</v>
      </c>
      <c r="G20" s="33"/>
      <c r="H20" s="52">
        <v>7.0000000000000007E-2</v>
      </c>
      <c r="I20" s="33"/>
      <c r="J20" s="33">
        <f t="shared" si="7"/>
        <v>-2.6592600369327779</v>
      </c>
      <c r="K20" s="33"/>
      <c r="L20" s="33">
        <f t="shared" si="8"/>
        <v>204.08163265306121</v>
      </c>
      <c r="M20" s="33"/>
      <c r="N20" s="62">
        <f>LN(L20)</f>
        <v>5.3185200738655558</v>
      </c>
    </row>
    <row r="21" spans="1:20" x14ac:dyDescent="0.3">
      <c r="B21" s="61">
        <f t="shared" si="4"/>
        <v>15.4</v>
      </c>
      <c r="C21" s="33"/>
      <c r="D21" s="33">
        <f t="shared" si="5"/>
        <v>237.16000000000003</v>
      </c>
      <c r="E21" s="33"/>
      <c r="F21" s="33">
        <f t="shared" si="6"/>
        <v>2.7343675094195836</v>
      </c>
      <c r="G21" s="33"/>
      <c r="H21" s="52">
        <v>0.1</v>
      </c>
      <c r="I21" s="33"/>
      <c r="J21" s="33">
        <f t="shared" si="7"/>
        <v>-2.3025850929940455</v>
      </c>
      <c r="K21" s="33"/>
      <c r="L21" s="33">
        <f t="shared" si="8"/>
        <v>99.999999999999986</v>
      </c>
      <c r="M21" s="33"/>
      <c r="N21" s="62">
        <f>LN(L21)</f>
        <v>4.6051701859880909</v>
      </c>
    </row>
    <row r="22" spans="1:20" x14ac:dyDescent="0.3">
      <c r="B22" s="61">
        <f t="shared" si="4"/>
        <v>8</v>
      </c>
      <c r="C22" s="33"/>
      <c r="D22" s="33">
        <f t="shared" si="5"/>
        <v>64</v>
      </c>
      <c r="E22" s="33"/>
      <c r="F22" s="33">
        <f t="shared" si="6"/>
        <v>2.0794415416798357</v>
      </c>
      <c r="G22" s="33"/>
      <c r="H22" s="52">
        <v>0.13</v>
      </c>
      <c r="I22" s="33"/>
      <c r="J22" s="33">
        <f t="shared" si="7"/>
        <v>-2.0402208285265546</v>
      </c>
      <c r="K22" s="33"/>
      <c r="L22" s="33">
        <f t="shared" si="8"/>
        <v>59.171597633136088</v>
      </c>
      <c r="M22" s="33"/>
      <c r="N22" s="62">
        <f>LN(L22)</f>
        <v>4.0804416570531092</v>
      </c>
    </row>
    <row r="23" spans="1:20" x14ac:dyDescent="0.3">
      <c r="B23" s="61">
        <f t="shared" si="4"/>
        <v>5</v>
      </c>
      <c r="C23" s="33"/>
      <c r="D23" s="33">
        <f t="shared" si="5"/>
        <v>25</v>
      </c>
      <c r="E23" s="33"/>
      <c r="F23" s="33">
        <f t="shared" si="6"/>
        <v>1.6094379124341003</v>
      </c>
      <c r="G23" s="33"/>
      <c r="H23" s="52">
        <v>0.16</v>
      </c>
      <c r="I23" s="33"/>
      <c r="J23" s="33">
        <f t="shared" si="7"/>
        <v>-1.8325814637483102</v>
      </c>
      <c r="K23" s="33"/>
      <c r="L23" s="33">
        <f t="shared" si="8"/>
        <v>39.0625</v>
      </c>
      <c r="M23" s="33"/>
      <c r="N23" s="62">
        <f>LN(L23)</f>
        <v>3.6651629274966204</v>
      </c>
    </row>
    <row r="24" spans="1:20" x14ac:dyDescent="0.3">
      <c r="B24" s="61">
        <f t="shared" si="4"/>
        <v>4.5999999999999996</v>
      </c>
      <c r="C24" s="33"/>
      <c r="D24" s="33">
        <f t="shared" si="5"/>
        <v>21.159999999999997</v>
      </c>
      <c r="E24" s="33"/>
      <c r="F24" s="33">
        <f t="shared" si="6"/>
        <v>1.5260563034950492</v>
      </c>
      <c r="G24" s="33"/>
      <c r="H24" s="52">
        <v>0.19</v>
      </c>
      <c r="I24" s="33"/>
      <c r="J24" s="33">
        <f t="shared" si="7"/>
        <v>-1.6607312068216509</v>
      </c>
      <c r="K24" s="33"/>
      <c r="L24" s="33">
        <f t="shared" si="8"/>
        <v>27.700831024930746</v>
      </c>
      <c r="M24" s="33"/>
      <c r="N24" s="62">
        <f>LN(L24)</f>
        <v>3.3214624136433017</v>
      </c>
    </row>
    <row r="25" spans="1:20" x14ac:dyDescent="0.3">
      <c r="B25" s="6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62"/>
    </row>
    <row r="26" spans="1:20" x14ac:dyDescent="0.3">
      <c r="B26" s="63" t="s">
        <v>23</v>
      </c>
      <c r="C26" s="53"/>
      <c r="D26" s="53" t="s">
        <v>24</v>
      </c>
      <c r="E26" s="53"/>
      <c r="F26" s="53" t="s">
        <v>25</v>
      </c>
      <c r="G26" s="53"/>
      <c r="H26" s="54" t="s">
        <v>28</v>
      </c>
      <c r="I26" s="53"/>
      <c r="J26" s="53" t="s">
        <v>27</v>
      </c>
      <c r="K26" s="33"/>
      <c r="L26" s="53" t="s">
        <v>30</v>
      </c>
      <c r="M26" s="33"/>
      <c r="N26" s="64" t="s">
        <v>26</v>
      </c>
      <c r="R26" s="33"/>
      <c r="S26" s="33"/>
      <c r="T26" s="33"/>
    </row>
    <row r="27" spans="1:20" x14ac:dyDescent="0.3">
      <c r="B27" s="61">
        <f t="shared" ref="B27:B32" si="9">H10</f>
        <v>57.2</v>
      </c>
      <c r="C27" s="33"/>
      <c r="D27" s="33">
        <f t="shared" ref="D27:D32" si="10">L19</f>
        <v>625</v>
      </c>
      <c r="E27" s="33"/>
      <c r="F27" s="33">
        <f t="shared" ref="F27:F32" si="11">B27-I$47</f>
        <v>-21.558607609710535</v>
      </c>
      <c r="G27" s="33"/>
      <c r="H27" s="55">
        <f t="shared" ref="H27:H32" si="12">N$33*F27+Q$19</f>
        <v>36.768086823937466</v>
      </c>
      <c r="I27" s="33"/>
      <c r="J27" s="33">
        <f t="shared" ref="J27:J32" si="13">F27^2</f>
        <v>464.77356206946899</v>
      </c>
      <c r="K27" s="33"/>
      <c r="L27" s="33">
        <f>SUM(F27:F32)/6</f>
        <v>-58.758607609710538</v>
      </c>
      <c r="M27" s="33"/>
      <c r="N27" s="62">
        <f t="shared" ref="N27:N32" si="14">D27*F27</f>
        <v>-13474.129756069084</v>
      </c>
      <c r="R27" s="4"/>
      <c r="S27" s="4"/>
      <c r="T27" s="4"/>
    </row>
    <row r="28" spans="1:20" x14ac:dyDescent="0.3">
      <c r="B28" s="61">
        <f t="shared" si="9"/>
        <v>29.8</v>
      </c>
      <c r="C28" s="33"/>
      <c r="D28" s="33">
        <f t="shared" si="10"/>
        <v>204.08163265306121</v>
      </c>
      <c r="E28" s="33"/>
      <c r="F28" s="33">
        <f t="shared" si="11"/>
        <v>-48.95860760971054</v>
      </c>
      <c r="G28" s="33"/>
      <c r="H28" s="55">
        <f t="shared" si="12"/>
        <v>83.498636273805829</v>
      </c>
      <c r="I28" s="33"/>
      <c r="J28" s="33">
        <f t="shared" si="13"/>
        <v>2396.9452590816068</v>
      </c>
      <c r="K28" s="33"/>
      <c r="L28" s="33"/>
      <c r="M28" s="33"/>
      <c r="N28" s="62">
        <f t="shared" si="14"/>
        <v>-9991.5525734103139</v>
      </c>
      <c r="P28" s="4"/>
      <c r="R28" s="4"/>
      <c r="S28" s="4"/>
      <c r="T28" s="4"/>
    </row>
    <row r="29" spans="1:20" x14ac:dyDescent="0.3">
      <c r="B29" s="61">
        <f t="shared" si="9"/>
        <v>15.4</v>
      </c>
      <c r="C29" s="33"/>
      <c r="D29" s="33">
        <f t="shared" si="10"/>
        <v>99.999999999999986</v>
      </c>
      <c r="E29" s="33"/>
      <c r="F29" s="33">
        <f t="shared" si="11"/>
        <v>-63.358607609710539</v>
      </c>
      <c r="G29" s="33"/>
      <c r="H29" s="55">
        <f t="shared" si="12"/>
        <v>108.05775715256877</v>
      </c>
      <c r="I29" s="33"/>
      <c r="J29" s="33">
        <f t="shared" si="13"/>
        <v>4014.3131582412702</v>
      </c>
      <c r="K29" s="33"/>
      <c r="L29" s="50" t="s">
        <v>38</v>
      </c>
      <c r="M29" s="33"/>
      <c r="N29" s="62">
        <f t="shared" si="14"/>
        <v>-6335.8607609710534</v>
      </c>
      <c r="P29" s="4"/>
      <c r="R29" s="4"/>
      <c r="S29" s="4"/>
      <c r="T29" s="4"/>
    </row>
    <row r="30" spans="1:20" x14ac:dyDescent="0.3">
      <c r="B30" s="61">
        <f t="shared" si="9"/>
        <v>8</v>
      </c>
      <c r="C30" s="33"/>
      <c r="D30" s="33">
        <f t="shared" si="10"/>
        <v>59.171597633136088</v>
      </c>
      <c r="E30" s="33"/>
      <c r="F30" s="33">
        <f t="shared" si="11"/>
        <v>-70.758607609710538</v>
      </c>
      <c r="G30" s="33"/>
      <c r="H30" s="55">
        <f t="shared" si="12"/>
        <v>120.67841649304415</v>
      </c>
      <c r="I30" s="33"/>
      <c r="J30" s="33">
        <f t="shared" si="13"/>
        <v>5006.7805508649863</v>
      </c>
      <c r="K30" s="33"/>
      <c r="L30">
        <f>(SUM(J27:J32)/6)</f>
        <v>3803.7739682319334</v>
      </c>
      <c r="M30" s="33"/>
      <c r="N30" s="62">
        <f t="shared" si="14"/>
        <v>-4186.8998585627533</v>
      </c>
      <c r="P30" s="4"/>
      <c r="R30" s="4"/>
      <c r="S30" s="4"/>
      <c r="T30" s="4"/>
    </row>
    <row r="31" spans="1:20" x14ac:dyDescent="0.3">
      <c r="B31" s="61">
        <f t="shared" si="9"/>
        <v>5</v>
      </c>
      <c r="C31" s="33"/>
      <c r="D31" s="33">
        <f t="shared" si="10"/>
        <v>39.0625</v>
      </c>
      <c r="E31" s="33"/>
      <c r="F31" s="33">
        <f t="shared" si="11"/>
        <v>-73.758607609710538</v>
      </c>
      <c r="G31" s="33"/>
      <c r="H31" s="55">
        <f t="shared" si="12"/>
        <v>125.7949000094531</v>
      </c>
      <c r="I31" s="33"/>
      <c r="J31" s="33">
        <f t="shared" si="13"/>
        <v>5440.332196523249</v>
      </c>
      <c r="K31" s="33"/>
      <c r="L31" s="33"/>
      <c r="M31" s="33"/>
      <c r="N31" s="62">
        <f t="shared" si="14"/>
        <v>-2881.195609754318</v>
      </c>
      <c r="P31" s="4"/>
      <c r="R31" s="4"/>
      <c r="S31" s="4"/>
      <c r="T31" s="4"/>
    </row>
    <row r="32" spans="1:20" x14ac:dyDescent="0.3">
      <c r="B32" s="61">
        <f t="shared" si="9"/>
        <v>4.5999999999999996</v>
      </c>
      <c r="C32" s="33"/>
      <c r="D32" s="33">
        <f t="shared" si="10"/>
        <v>27.700831024930746</v>
      </c>
      <c r="E32" s="33"/>
      <c r="F32" s="33">
        <f t="shared" si="11"/>
        <v>-74.158607609710543</v>
      </c>
      <c r="G32" s="33"/>
      <c r="H32" s="56">
        <f t="shared" si="12"/>
        <v>126.47709781164097</v>
      </c>
      <c r="I32" s="33"/>
      <c r="J32" s="33">
        <f t="shared" si="13"/>
        <v>5499.4990826110188</v>
      </c>
      <c r="K32" s="33"/>
      <c r="L32" s="33"/>
      <c r="M32" s="33"/>
      <c r="N32" s="62">
        <f t="shared" si="14"/>
        <v>-2054.255058440735</v>
      </c>
      <c r="P32" s="4"/>
      <c r="R32" s="4"/>
      <c r="S32" s="4"/>
      <c r="T32" s="4"/>
    </row>
    <row r="33" spans="2:15" x14ac:dyDescent="0.3"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7">
        <f>N38/L30</f>
        <v>-1.7054945054696482</v>
      </c>
    </row>
    <row r="37" spans="2:15" x14ac:dyDescent="0.3">
      <c r="B37" s="7" t="s">
        <v>14</v>
      </c>
      <c r="C37" s="7" t="s">
        <v>15</v>
      </c>
      <c r="D37" s="7" t="s">
        <v>16</v>
      </c>
      <c r="F37" s="49" t="s">
        <v>17</v>
      </c>
      <c r="I37" s="7" t="s">
        <v>9</v>
      </c>
      <c r="K37" s="7" t="s">
        <v>31</v>
      </c>
      <c r="M37" s="7" t="s">
        <v>32</v>
      </c>
      <c r="N37" s="7" t="s">
        <v>29</v>
      </c>
    </row>
    <row r="38" spans="2:15" x14ac:dyDescent="0.3">
      <c r="B38">
        <f>5*SUM(D19:D24)-(SUM(H10:H15))^2</f>
        <v>8136</v>
      </c>
      <c r="C38">
        <f>((SUM(D19:D24)*SUM(L19:L24))-(SUM(H10:H15)*SUM(K38:K43)))/B38</f>
        <v>-66.981116725590439</v>
      </c>
      <c r="D38">
        <f>(5*SUM(I38:I43)-SUM(L19:L24)*SUM(H10:H15))/B$38</f>
        <v>11.582684541158997</v>
      </c>
      <c r="F38" t="s">
        <v>20</v>
      </c>
      <c r="I38">
        <f t="shared" ref="I38:I43" si="15">L19*H10</f>
        <v>35750</v>
      </c>
      <c r="K38">
        <f t="shared" ref="K38:K43" si="16">H10*L19</f>
        <v>35750</v>
      </c>
      <c r="M38">
        <f t="shared" ref="M38:M43" si="17">1/(M10^2)</f>
        <v>6.2499999999999991</v>
      </c>
      <c r="N38">
        <f>SUM(N27:N32)/6</f>
        <v>-6487.3156028680423</v>
      </c>
    </row>
    <row r="39" spans="2:15" x14ac:dyDescent="0.3">
      <c r="I39">
        <f t="shared" si="15"/>
        <v>6081.6326530612241</v>
      </c>
      <c r="K39">
        <f t="shared" si="16"/>
        <v>6081.6326530612241</v>
      </c>
      <c r="M39">
        <f t="shared" si="17"/>
        <v>0.73529411764705865</v>
      </c>
    </row>
    <row r="40" spans="2:15" x14ac:dyDescent="0.3">
      <c r="I40">
        <f t="shared" si="15"/>
        <v>1539.9999999999998</v>
      </c>
      <c r="K40">
        <f t="shared" si="16"/>
        <v>1539.9999999999998</v>
      </c>
      <c r="M40">
        <f t="shared" si="17"/>
        <v>4.1666666666666661</v>
      </c>
    </row>
    <row r="41" spans="2:15" x14ac:dyDescent="0.3">
      <c r="I41">
        <f t="shared" si="15"/>
        <v>473.3727810650887</v>
      </c>
      <c r="K41">
        <f t="shared" si="16"/>
        <v>473.3727810650887</v>
      </c>
      <c r="M41">
        <f t="shared" si="17"/>
        <v>2.5</v>
      </c>
    </row>
    <row r="42" spans="2:15" x14ac:dyDescent="0.3">
      <c r="I42">
        <f t="shared" si="15"/>
        <v>195.3125</v>
      </c>
      <c r="K42">
        <f t="shared" si="16"/>
        <v>195.3125</v>
      </c>
      <c r="M42">
        <f t="shared" si="17"/>
        <v>0.3571428571428571</v>
      </c>
    </row>
    <row r="43" spans="2:15" x14ac:dyDescent="0.3">
      <c r="I43">
        <f t="shared" si="15"/>
        <v>127.42382271468142</v>
      </c>
      <c r="K43">
        <f t="shared" si="16"/>
        <v>127.42382271468142</v>
      </c>
      <c r="M43">
        <f t="shared" si="17"/>
        <v>1.5624999999999998</v>
      </c>
    </row>
    <row r="44" spans="2:15" x14ac:dyDescent="0.3">
      <c r="O44" t="s">
        <v>40</v>
      </c>
    </row>
    <row r="45" spans="2:15" x14ac:dyDescent="0.3">
      <c r="M45" s="7" t="s">
        <v>33</v>
      </c>
      <c r="O45">
        <f>SUM(B69:B91)/R10^2</f>
        <v>0</v>
      </c>
    </row>
    <row r="46" spans="2:15" x14ac:dyDescent="0.3">
      <c r="I46" s="7" t="s">
        <v>34</v>
      </c>
      <c r="K46" t="s">
        <v>39</v>
      </c>
      <c r="M46">
        <f t="shared" ref="M46:M51" si="18">H10*M38</f>
        <v>357.49999999999994</v>
      </c>
    </row>
    <row r="47" spans="2:15" x14ac:dyDescent="0.3">
      <c r="I47">
        <f>(SUM(M46:M51))/6</f>
        <v>78.758607609710538</v>
      </c>
      <c r="K47">
        <f t="shared" ref="K47:K52" si="19">(L19-H27)^2</f>
        <v>346016.78367877082</v>
      </c>
      <c r="M47">
        <f t="shared" si="18"/>
        <v>21.911764705882348</v>
      </c>
    </row>
    <row r="48" spans="2:15" x14ac:dyDescent="0.3">
      <c r="K48">
        <f t="shared" si="19"/>
        <v>14540.259015799515</v>
      </c>
      <c r="M48">
        <f t="shared" si="18"/>
        <v>64.166666666666657</v>
      </c>
    </row>
    <row r="49" spans="9:13" ht="14.25" customHeight="1" x14ac:dyDescent="0.3">
      <c r="I49" s="7" t="s">
        <v>35</v>
      </c>
      <c r="K49">
        <f t="shared" si="19"/>
        <v>64.927450329773379</v>
      </c>
      <c r="M49">
        <f t="shared" si="18"/>
        <v>20</v>
      </c>
    </row>
    <row r="50" spans="9:13" x14ac:dyDescent="0.3">
      <c r="I50">
        <f>SUM(L19:L24)/6</f>
        <v>175.83609355185467</v>
      </c>
      <c r="K50">
        <f t="shared" si="19"/>
        <v>3783.0887662655427</v>
      </c>
      <c r="M50">
        <f t="shared" si="18"/>
        <v>1.7857142857142856</v>
      </c>
    </row>
    <row r="51" spans="9:13" x14ac:dyDescent="0.3">
      <c r="K51">
        <f t="shared" si="19"/>
        <v>7522.5092113997807</v>
      </c>
      <c r="M51">
        <f t="shared" si="18"/>
        <v>7.1874999999999982</v>
      </c>
    </row>
    <row r="52" spans="9:13" x14ac:dyDescent="0.3">
      <c r="K52">
        <f t="shared" si="19"/>
        <v>9756.7508803193541</v>
      </c>
    </row>
    <row r="92" spans="2:17" x14ac:dyDescent="0.3">
      <c r="L92" t="s">
        <v>41</v>
      </c>
    </row>
    <row r="93" spans="2:17" x14ac:dyDescent="0.3">
      <c r="B93" s="24" t="s">
        <v>42</v>
      </c>
      <c r="C93" s="80" t="s">
        <v>43</v>
      </c>
      <c r="D93" s="80"/>
      <c r="E93" s="80"/>
      <c r="F93" s="80"/>
      <c r="G93" s="81"/>
      <c r="I93" s="7" t="s">
        <v>44</v>
      </c>
      <c r="K93" s="7" t="s">
        <v>45</v>
      </c>
      <c r="L93" s="7"/>
      <c r="M93" s="7" t="s">
        <v>48</v>
      </c>
      <c r="O93" s="7" t="s">
        <v>49</v>
      </c>
      <c r="Q93" s="7" t="s">
        <v>50</v>
      </c>
    </row>
    <row r="94" spans="2:17" x14ac:dyDescent="0.3">
      <c r="B94" s="25">
        <v>2000</v>
      </c>
      <c r="C94" s="4">
        <v>1</v>
      </c>
      <c r="D94" s="4">
        <v>3</v>
      </c>
      <c r="E94" s="4">
        <v>3</v>
      </c>
      <c r="F94" s="4">
        <v>4</v>
      </c>
      <c r="G94" s="26">
        <v>2</v>
      </c>
      <c r="I94">
        <f>AVERAGE(C94:G94)</f>
        <v>2.6</v>
      </c>
      <c r="K94">
        <f>_xlfn.STDEV.P(C94:G94)</f>
        <v>1.019803902718557</v>
      </c>
      <c r="M94">
        <f t="shared" ref="M94:M102" si="20">(2*100/B94)*Q94</f>
        <v>7258.3356668538581</v>
      </c>
      <c r="O94">
        <f t="shared" ref="O94:O111" si="21">M117*K$117^2</f>
        <v>-1.3312000000000002E-7</v>
      </c>
      <c r="Q94">
        <f t="shared" ref="Q94:Q102" si="22">0.038^2*B94^2*4*PI()</f>
        <v>72583.356668538574</v>
      </c>
    </row>
    <row r="95" spans="2:17" x14ac:dyDescent="0.3">
      <c r="B95" s="25">
        <v>2500</v>
      </c>
      <c r="C95" s="4">
        <v>4</v>
      </c>
      <c r="D95" s="4">
        <v>3</v>
      </c>
      <c r="E95" s="4">
        <v>5</v>
      </c>
      <c r="F95" s="4">
        <v>3</v>
      </c>
      <c r="G95" s="26">
        <v>6</v>
      </c>
      <c r="I95">
        <f t="shared" ref="I95:I102" si="23">AVERAGE(C95:G95)</f>
        <v>4.2</v>
      </c>
      <c r="K95">
        <f t="shared" ref="K95:K102" si="24">_xlfn.STDEV.P(C95:G95)</f>
        <v>1.1661903789690602</v>
      </c>
      <c r="M95">
        <f t="shared" si="20"/>
        <v>9072.9195835673236</v>
      </c>
      <c r="O95">
        <f t="shared" si="21"/>
        <v>-2.1504E-7</v>
      </c>
      <c r="Q95">
        <f t="shared" si="22"/>
        <v>113411.49479459153</v>
      </c>
    </row>
    <row r="96" spans="2:17" x14ac:dyDescent="0.3">
      <c r="B96" s="25">
        <v>3000</v>
      </c>
      <c r="C96" s="4">
        <v>5</v>
      </c>
      <c r="D96" s="4">
        <v>6</v>
      </c>
      <c r="E96" s="4">
        <v>7</v>
      </c>
      <c r="F96" s="4">
        <v>7</v>
      </c>
      <c r="G96" s="26">
        <v>6</v>
      </c>
      <c r="I96">
        <f t="shared" si="23"/>
        <v>6.2</v>
      </c>
      <c r="K96">
        <f t="shared" si="24"/>
        <v>0.74833147735478833</v>
      </c>
      <c r="M96">
        <f t="shared" si="20"/>
        <v>10887.503500280787</v>
      </c>
      <c r="O96">
        <f t="shared" si="21"/>
        <v>-3.1744000000000002E-7</v>
      </c>
      <c r="Q96">
        <f t="shared" si="22"/>
        <v>163312.55250421181</v>
      </c>
    </row>
    <row r="97" spans="1:17" x14ac:dyDescent="0.3">
      <c r="B97" s="25">
        <v>3500</v>
      </c>
      <c r="C97" s="4">
        <v>7</v>
      </c>
      <c r="D97" s="4">
        <v>9</v>
      </c>
      <c r="E97" s="4">
        <v>9</v>
      </c>
      <c r="F97" s="4">
        <v>7</v>
      </c>
      <c r="G97" s="26">
        <v>9</v>
      </c>
      <c r="I97">
        <f t="shared" si="23"/>
        <v>8.1999999999999993</v>
      </c>
      <c r="K97">
        <f t="shared" si="24"/>
        <v>0.9797958971132712</v>
      </c>
      <c r="M97">
        <f t="shared" si="20"/>
        <v>12702.087416994251</v>
      </c>
      <c r="O97">
        <f t="shared" si="21"/>
        <v>-4.1983999999999998E-7</v>
      </c>
      <c r="Q97">
        <f t="shared" si="22"/>
        <v>222286.52979739939</v>
      </c>
    </row>
    <row r="98" spans="1:17" x14ac:dyDescent="0.3">
      <c r="B98" s="25">
        <v>4000</v>
      </c>
      <c r="C98" s="4">
        <v>12</v>
      </c>
      <c r="D98" s="4">
        <v>10</v>
      </c>
      <c r="E98" s="4">
        <v>10</v>
      </c>
      <c r="F98" s="4">
        <v>11</v>
      </c>
      <c r="G98" s="26">
        <v>12</v>
      </c>
      <c r="I98">
        <f t="shared" si="23"/>
        <v>11</v>
      </c>
      <c r="K98">
        <f t="shared" si="24"/>
        <v>0.89442719099991586</v>
      </c>
      <c r="M98">
        <f t="shared" si="20"/>
        <v>14516.671333707716</v>
      </c>
      <c r="O98">
        <f t="shared" si="21"/>
        <v>-5.6319999999999996E-7</v>
      </c>
      <c r="Q98">
        <f t="shared" si="22"/>
        <v>290333.4266741543</v>
      </c>
    </row>
    <row r="99" spans="1:17" x14ac:dyDescent="0.3">
      <c r="B99" s="25">
        <v>4500</v>
      </c>
      <c r="C99" s="4">
        <v>12</v>
      </c>
      <c r="D99" s="4">
        <v>14</v>
      </c>
      <c r="E99" s="4">
        <v>14</v>
      </c>
      <c r="F99" s="4">
        <v>11</v>
      </c>
      <c r="G99" s="26">
        <v>14</v>
      </c>
      <c r="I99">
        <f t="shared" si="23"/>
        <v>13</v>
      </c>
      <c r="K99">
        <f t="shared" si="24"/>
        <v>1.2649110640673518</v>
      </c>
      <c r="M99">
        <f t="shared" si="20"/>
        <v>16331.25525042118</v>
      </c>
      <c r="O99">
        <f t="shared" si="21"/>
        <v>-6.6560000000000003E-7</v>
      </c>
      <c r="Q99">
        <f t="shared" si="22"/>
        <v>367453.24313447654</v>
      </c>
    </row>
    <row r="100" spans="1:17" x14ac:dyDescent="0.3">
      <c r="B100" s="25">
        <v>5000</v>
      </c>
      <c r="C100" s="4">
        <v>17</v>
      </c>
      <c r="D100" s="4">
        <v>17</v>
      </c>
      <c r="E100" s="4">
        <v>17</v>
      </c>
      <c r="F100" s="4">
        <v>15</v>
      </c>
      <c r="G100" s="26">
        <v>15</v>
      </c>
      <c r="I100">
        <f t="shared" si="23"/>
        <v>16.2</v>
      </c>
      <c r="K100">
        <f t="shared" si="24"/>
        <v>0.97979589711327131</v>
      </c>
      <c r="M100">
        <f t="shared" si="20"/>
        <v>18145.839167134647</v>
      </c>
      <c r="O100">
        <f t="shared" si="21"/>
        <v>-8.2943999999999989E-7</v>
      </c>
      <c r="Q100">
        <f t="shared" si="22"/>
        <v>453645.97917836613</v>
      </c>
    </row>
    <row r="101" spans="1:17" x14ac:dyDescent="0.3">
      <c r="B101" s="25">
        <v>5500</v>
      </c>
      <c r="C101" s="4">
        <v>20</v>
      </c>
      <c r="D101" s="4">
        <v>19</v>
      </c>
      <c r="E101" s="4">
        <v>19</v>
      </c>
      <c r="F101" s="4">
        <v>20</v>
      </c>
      <c r="G101" s="26">
        <v>20</v>
      </c>
      <c r="I101">
        <f t="shared" si="23"/>
        <v>19.600000000000001</v>
      </c>
      <c r="K101">
        <f t="shared" si="24"/>
        <v>0.4898979485566356</v>
      </c>
      <c r="M101">
        <f t="shared" si="20"/>
        <v>19960.423083848109</v>
      </c>
      <c r="O101">
        <f t="shared" si="21"/>
        <v>-1.0035200000000001E-6</v>
      </c>
      <c r="Q101">
        <f t="shared" si="22"/>
        <v>548911.63480582298</v>
      </c>
    </row>
    <row r="102" spans="1:17" x14ac:dyDescent="0.3">
      <c r="B102" s="27">
        <v>6000</v>
      </c>
      <c r="C102" s="28">
        <v>25</v>
      </c>
      <c r="D102" s="28">
        <v>24</v>
      </c>
      <c r="E102" s="28">
        <v>23</v>
      </c>
      <c r="F102" s="28">
        <v>23</v>
      </c>
      <c r="G102" s="29">
        <v>23</v>
      </c>
      <c r="I102">
        <f t="shared" si="23"/>
        <v>23.6</v>
      </c>
      <c r="K102">
        <f t="shared" si="24"/>
        <v>0.79999999999999993</v>
      </c>
      <c r="M102">
        <f t="shared" si="20"/>
        <v>21775.007000561574</v>
      </c>
      <c r="O102">
        <f t="shared" si="21"/>
        <v>-1.2083200000000001E-6</v>
      </c>
      <c r="Q102">
        <f t="shared" si="22"/>
        <v>653250.21001684724</v>
      </c>
    </row>
    <row r="103" spans="1:17" x14ac:dyDescent="0.3">
      <c r="I103" t="s">
        <v>58</v>
      </c>
      <c r="K103">
        <f t="shared" ref="K103:K111" si="25">_xlfn.STDEV.P(C106:G106)</f>
        <v>0.48989794855663565</v>
      </c>
      <c r="M103">
        <f t="shared" ref="M103:M111" si="26">2*100/B106</f>
        <v>0.1</v>
      </c>
      <c r="O103">
        <f t="shared" si="21"/>
        <v>-3.8911999999999998E-7</v>
      </c>
      <c r="Q103">
        <f t="shared" ref="Q103:Q111" si="27">0.038^2*B106*A$106*4*PI()</f>
        <v>217750.07000561574</v>
      </c>
    </row>
    <row r="104" spans="1:17" x14ac:dyDescent="0.3">
      <c r="I104">
        <f t="shared" ref="I104:I112" si="28">AVERAGE(C106:G106)</f>
        <v>7.6</v>
      </c>
      <c r="K104">
        <f t="shared" si="25"/>
        <v>0.89442719099991586</v>
      </c>
      <c r="M104">
        <f t="shared" si="26"/>
        <v>0.08</v>
      </c>
      <c r="O104">
        <f t="shared" si="21"/>
        <v>-5.1200000000000003E-7</v>
      </c>
      <c r="Q104">
        <f t="shared" si="27"/>
        <v>272187.58750701969</v>
      </c>
    </row>
    <row r="105" spans="1:17" x14ac:dyDescent="0.3">
      <c r="A105" s="30" t="s">
        <v>56</v>
      </c>
      <c r="B105" s="31" t="s">
        <v>57</v>
      </c>
      <c r="C105" s="31"/>
      <c r="D105" s="31"/>
      <c r="E105" s="31"/>
      <c r="F105" s="31"/>
      <c r="G105" s="32"/>
      <c r="I105">
        <f t="shared" si="28"/>
        <v>10</v>
      </c>
      <c r="K105">
        <f t="shared" si="25"/>
        <v>0.74833147735478822</v>
      </c>
      <c r="M105">
        <f t="shared" si="26"/>
        <v>6.6666666666666666E-2</v>
      </c>
      <c r="O105">
        <f t="shared" si="21"/>
        <v>-6.0416000000000003E-7</v>
      </c>
      <c r="Q105">
        <f t="shared" si="27"/>
        <v>326625.10500842362</v>
      </c>
    </row>
    <row r="106" spans="1:17" x14ac:dyDescent="0.3">
      <c r="A106" s="25">
        <v>6000</v>
      </c>
      <c r="B106" s="4">
        <v>2000</v>
      </c>
      <c r="C106" s="4">
        <v>7</v>
      </c>
      <c r="D106" s="4">
        <v>7</v>
      </c>
      <c r="E106" s="4">
        <v>8</v>
      </c>
      <c r="F106" s="4">
        <v>8</v>
      </c>
      <c r="G106" s="26">
        <v>8</v>
      </c>
      <c r="I106">
        <f t="shared" si="28"/>
        <v>11.8</v>
      </c>
      <c r="K106">
        <f t="shared" si="25"/>
        <v>1.0198039027185568</v>
      </c>
      <c r="M106">
        <f t="shared" si="26"/>
        <v>5.7142857142857141E-2</v>
      </c>
      <c r="O106">
        <f t="shared" si="21"/>
        <v>-7.3728E-7</v>
      </c>
      <c r="Q106">
        <f t="shared" si="27"/>
        <v>381062.62250982755</v>
      </c>
    </row>
    <row r="107" spans="1:17" x14ac:dyDescent="0.3">
      <c r="A107" s="25"/>
      <c r="B107" s="4">
        <v>2500</v>
      </c>
      <c r="C107" s="4">
        <v>11</v>
      </c>
      <c r="D107" s="4">
        <v>10</v>
      </c>
      <c r="E107" s="4">
        <v>11</v>
      </c>
      <c r="F107" s="4">
        <v>9</v>
      </c>
      <c r="G107" s="26">
        <v>9</v>
      </c>
      <c r="I107">
        <f t="shared" si="28"/>
        <v>14.4</v>
      </c>
      <c r="K107">
        <f t="shared" si="25"/>
        <v>1.0954451150103321</v>
      </c>
      <c r="M107">
        <f t="shared" si="26"/>
        <v>0.05</v>
      </c>
      <c r="O107">
        <f t="shared" si="21"/>
        <v>-8.1920000000000003E-7</v>
      </c>
      <c r="Q107">
        <f t="shared" si="27"/>
        <v>435500.14001123147</v>
      </c>
    </row>
    <row r="108" spans="1:17" x14ac:dyDescent="0.3">
      <c r="A108" s="25"/>
      <c r="B108" s="4">
        <v>3000</v>
      </c>
      <c r="C108" s="4">
        <v>13</v>
      </c>
      <c r="D108" s="4">
        <v>11</v>
      </c>
      <c r="E108" s="4">
        <v>11</v>
      </c>
      <c r="F108" s="4">
        <v>12</v>
      </c>
      <c r="G108" s="26">
        <v>12</v>
      </c>
      <c r="I108">
        <f t="shared" si="28"/>
        <v>16</v>
      </c>
      <c r="K108">
        <f t="shared" si="25"/>
        <v>0.89442719099991586</v>
      </c>
      <c r="M108">
        <f t="shared" si="26"/>
        <v>4.4444444444444446E-2</v>
      </c>
      <c r="O108">
        <f t="shared" si="21"/>
        <v>-9.216000000000001E-7</v>
      </c>
      <c r="Q108">
        <f t="shared" si="27"/>
        <v>489937.6575126354</v>
      </c>
    </row>
    <row r="109" spans="1:17" x14ac:dyDescent="0.3">
      <c r="A109" s="25"/>
      <c r="B109" s="4">
        <v>3500</v>
      </c>
      <c r="C109" s="4">
        <v>15</v>
      </c>
      <c r="D109" s="4">
        <v>16</v>
      </c>
      <c r="E109" s="4">
        <v>14</v>
      </c>
      <c r="F109" s="4">
        <v>13</v>
      </c>
      <c r="G109" s="26">
        <v>14</v>
      </c>
      <c r="I109">
        <f t="shared" si="28"/>
        <v>18</v>
      </c>
      <c r="K109">
        <f t="shared" si="25"/>
        <v>0.4898979485566356</v>
      </c>
      <c r="M109">
        <f t="shared" si="26"/>
        <v>0.04</v>
      </c>
      <c r="O109">
        <f t="shared" si="21"/>
        <v>-1.0035200000000001E-6</v>
      </c>
      <c r="Q109">
        <f t="shared" si="27"/>
        <v>544375.17501403939</v>
      </c>
    </row>
    <row r="110" spans="1:17" x14ac:dyDescent="0.3">
      <c r="A110" s="25"/>
      <c r="B110" s="4">
        <v>4000</v>
      </c>
      <c r="C110" s="4">
        <v>15</v>
      </c>
      <c r="D110" s="4">
        <v>15</v>
      </c>
      <c r="E110" s="4">
        <v>18</v>
      </c>
      <c r="F110" s="4">
        <v>16</v>
      </c>
      <c r="G110" s="26">
        <v>16</v>
      </c>
      <c r="I110">
        <f t="shared" si="28"/>
        <v>19.600000000000001</v>
      </c>
      <c r="K110">
        <f t="shared" si="25"/>
        <v>0</v>
      </c>
      <c r="M110">
        <f t="shared" si="26"/>
        <v>3.6363636363636362E-2</v>
      </c>
      <c r="O110">
        <f t="shared" si="21"/>
        <v>-1.0751999999999999E-6</v>
      </c>
      <c r="Q110">
        <f t="shared" si="27"/>
        <v>598812.69251544331</v>
      </c>
    </row>
    <row r="111" spans="1:17" x14ac:dyDescent="0.3">
      <c r="A111" s="25"/>
      <c r="B111" s="4">
        <v>4500</v>
      </c>
      <c r="C111" s="4">
        <v>17</v>
      </c>
      <c r="D111" s="4">
        <v>19</v>
      </c>
      <c r="E111" s="4">
        <v>17</v>
      </c>
      <c r="F111" s="4">
        <v>18</v>
      </c>
      <c r="G111" s="26">
        <v>19</v>
      </c>
      <c r="I111">
        <f t="shared" si="28"/>
        <v>21</v>
      </c>
      <c r="K111">
        <f t="shared" si="25"/>
        <v>0.63245553203367588</v>
      </c>
      <c r="M111">
        <f t="shared" si="26"/>
        <v>3.3333333333333333E-2</v>
      </c>
      <c r="O111">
        <f t="shared" si="21"/>
        <v>-1.2288E-6</v>
      </c>
      <c r="Q111">
        <f t="shared" si="27"/>
        <v>653250.21001684724</v>
      </c>
    </row>
    <row r="112" spans="1:17" x14ac:dyDescent="0.3">
      <c r="A112" s="25"/>
      <c r="B112" s="4">
        <v>5000</v>
      </c>
      <c r="C112" s="4">
        <v>19</v>
      </c>
      <c r="D112" s="4">
        <v>20</v>
      </c>
      <c r="E112" s="4">
        <v>20</v>
      </c>
      <c r="F112" s="4">
        <v>20</v>
      </c>
      <c r="G112" s="26">
        <v>19</v>
      </c>
      <c r="I112">
        <f t="shared" si="28"/>
        <v>24</v>
      </c>
    </row>
    <row r="113" spans="1:17" x14ac:dyDescent="0.3">
      <c r="A113" s="25"/>
      <c r="B113" s="4">
        <v>5500</v>
      </c>
      <c r="C113" s="4">
        <v>21</v>
      </c>
      <c r="D113" s="4">
        <v>21</v>
      </c>
      <c r="E113" s="4">
        <v>21</v>
      </c>
      <c r="F113" s="4">
        <v>21</v>
      </c>
      <c r="G113" s="26">
        <v>21</v>
      </c>
    </row>
    <row r="114" spans="1:17" x14ac:dyDescent="0.3">
      <c r="A114" s="27"/>
      <c r="B114" s="28">
        <v>6000</v>
      </c>
      <c r="C114" s="28">
        <v>24</v>
      </c>
      <c r="D114" s="28">
        <v>24</v>
      </c>
      <c r="E114" s="28">
        <v>25</v>
      </c>
      <c r="F114" s="28">
        <v>23</v>
      </c>
      <c r="G114" s="29">
        <v>24</v>
      </c>
    </row>
    <row r="115" spans="1:17" x14ac:dyDescent="0.3">
      <c r="A115" s="4"/>
      <c r="B115" s="4"/>
      <c r="C115" s="4"/>
      <c r="D115" s="4"/>
      <c r="E115" s="4"/>
      <c r="F115" s="4"/>
      <c r="G115" s="4"/>
    </row>
    <row r="116" spans="1:17" ht="16.5" customHeight="1" x14ac:dyDescent="0.3">
      <c r="A116" s="4"/>
      <c r="B116" s="4"/>
      <c r="C116" s="4"/>
      <c r="D116" s="4"/>
      <c r="E116" s="4"/>
      <c r="F116" s="4"/>
      <c r="G116" s="7" t="s">
        <v>51</v>
      </c>
      <c r="I116" s="68" t="s">
        <v>42</v>
      </c>
      <c r="K116" s="7" t="s">
        <v>52</v>
      </c>
      <c r="M116" s="7" t="s">
        <v>53</v>
      </c>
      <c r="O116" s="7" t="s">
        <v>54</v>
      </c>
      <c r="Q116" s="7" t="s">
        <v>59</v>
      </c>
    </row>
    <row r="117" spans="1:17" x14ac:dyDescent="0.3">
      <c r="A117" s="4"/>
      <c r="B117" s="4"/>
      <c r="C117" s="4"/>
      <c r="D117" s="4"/>
      <c r="E117" s="4"/>
      <c r="F117" s="4"/>
      <c r="G117" t="e">
        <f>(#REF!/O94+M94/Q94)*O117</f>
        <v>#REF!</v>
      </c>
      <c r="I117">
        <v>2000</v>
      </c>
      <c r="K117">
        <f>0.08</f>
        <v>0.08</v>
      </c>
      <c r="M117">
        <f t="shared" ref="M117:M125" si="29">-I94*D$166</f>
        <v>-2.0800000000000001E-5</v>
      </c>
      <c r="O117">
        <f t="shared" ref="O117:O125" si="30">(M117*(K$117^2))/((K$120^2)*(B94^2)*4*PI())</f>
        <v>-7.3361170444574488E-12</v>
      </c>
      <c r="Q117">
        <f>AVERAGE(O117:O134)</f>
        <v>-7.4566351536398908E-12</v>
      </c>
    </row>
    <row r="118" spans="1:17" x14ac:dyDescent="0.3">
      <c r="A118" s="4"/>
      <c r="B118" s="4"/>
      <c r="C118" s="4"/>
      <c r="D118" s="4"/>
      <c r="E118" s="4"/>
      <c r="F118" s="4"/>
      <c r="G118" t="e">
        <f>(#REF!/O95+M95/Q95)*O118</f>
        <v>#REF!</v>
      </c>
      <c r="I118">
        <v>2500</v>
      </c>
      <c r="M118">
        <f t="shared" si="29"/>
        <v>-3.3599999999999997E-5</v>
      </c>
      <c r="O118">
        <f t="shared" si="30"/>
        <v>-7.5844163905775449E-12</v>
      </c>
    </row>
    <row r="119" spans="1:17" x14ac:dyDescent="0.3">
      <c r="A119" s="4"/>
      <c r="B119" s="4"/>
      <c r="C119" s="4"/>
      <c r="D119" s="4"/>
      <c r="E119" s="4"/>
      <c r="F119" s="4"/>
      <c r="G119" t="e">
        <f>(#REF!/O96+M96/Q96)*O119</f>
        <v>#REF!</v>
      </c>
      <c r="I119">
        <v>3000</v>
      </c>
      <c r="K119" t="s">
        <v>55</v>
      </c>
      <c r="M119">
        <f t="shared" si="29"/>
        <v>-4.9599999999999999E-5</v>
      </c>
      <c r="O119">
        <f t="shared" si="30"/>
        <v>-7.7750300300232779E-12</v>
      </c>
    </row>
    <row r="120" spans="1:17" x14ac:dyDescent="0.3">
      <c r="A120" s="4"/>
      <c r="B120" s="4"/>
      <c r="C120" s="4"/>
      <c r="D120" s="4"/>
      <c r="E120" s="4"/>
      <c r="F120" s="4"/>
      <c r="G120" t="e">
        <f>(#REF!/O97+M97/Q97)*O120</f>
        <v>#REF!</v>
      </c>
      <c r="I120">
        <v>3500</v>
      </c>
      <c r="K120">
        <v>1.9E-2</v>
      </c>
      <c r="M120">
        <f t="shared" si="29"/>
        <v>-6.5599999999999995E-5</v>
      </c>
      <c r="O120">
        <f t="shared" si="30"/>
        <v>-7.5549337223925988E-12</v>
      </c>
    </row>
    <row r="121" spans="1:17" x14ac:dyDescent="0.3">
      <c r="A121" s="4"/>
      <c r="B121" s="4"/>
      <c r="C121" s="4"/>
      <c r="D121" s="4"/>
      <c r="E121" s="4"/>
      <c r="F121" s="4"/>
      <c r="G121" t="e">
        <f>(#REF!/O98+M98/Q98)*O121</f>
        <v>#REF!</v>
      </c>
      <c r="I121">
        <v>4000</v>
      </c>
      <c r="M121">
        <f t="shared" si="29"/>
        <v>-8.7999999999999998E-5</v>
      </c>
      <c r="O121">
        <f t="shared" si="30"/>
        <v>-7.7593545662530698E-12</v>
      </c>
    </row>
    <row r="122" spans="1:17" x14ac:dyDescent="0.3">
      <c r="A122" s="4"/>
      <c r="B122" s="4"/>
      <c r="C122" s="4"/>
      <c r="D122" s="4"/>
      <c r="E122" s="4"/>
      <c r="F122" s="4"/>
      <c r="G122" t="e">
        <f>(#REF!/O99+M99/Q99)*O122</f>
        <v>#REF!</v>
      </c>
      <c r="I122">
        <v>4500</v>
      </c>
      <c r="M122">
        <f t="shared" si="29"/>
        <v>-1.0399999999999999E-4</v>
      </c>
      <c r="O122">
        <f t="shared" si="30"/>
        <v>-7.2455476982295785E-12</v>
      </c>
    </row>
    <row r="123" spans="1:17" x14ac:dyDescent="0.3">
      <c r="A123" s="4"/>
      <c r="B123" s="4"/>
      <c r="C123" s="4"/>
      <c r="D123" s="4"/>
      <c r="E123" s="4"/>
      <c r="F123" s="4"/>
      <c r="G123" t="e">
        <f>(#REF!/O100+M100/Q100)*O123</f>
        <v>#REF!</v>
      </c>
      <c r="I123">
        <v>5000</v>
      </c>
      <c r="M123">
        <f t="shared" si="29"/>
        <v>-1.2959999999999998E-4</v>
      </c>
      <c r="O123">
        <f t="shared" si="30"/>
        <v>-7.3135443766283471E-12</v>
      </c>
    </row>
    <row r="124" spans="1:17" x14ac:dyDescent="0.3">
      <c r="A124" s="4"/>
      <c r="B124" s="4"/>
      <c r="C124" s="4"/>
      <c r="D124" s="4"/>
      <c r="E124" s="4"/>
      <c r="F124" s="4"/>
      <c r="G124" t="e">
        <f>(#REF!/O101+M101/Q101)*O124</f>
        <v>#REF!</v>
      </c>
      <c r="I124">
        <v>5500</v>
      </c>
      <c r="M124">
        <f t="shared" si="29"/>
        <v>-1.5680000000000002E-4</v>
      </c>
      <c r="O124">
        <f t="shared" si="30"/>
        <v>-7.312798172733172E-12</v>
      </c>
    </row>
    <row r="125" spans="1:17" x14ac:dyDescent="0.3">
      <c r="A125" s="4"/>
      <c r="B125" s="4"/>
      <c r="C125" s="4"/>
      <c r="D125" s="4"/>
      <c r="E125" s="4"/>
      <c r="F125" s="4"/>
      <c r="G125" t="e">
        <f>(#REF!/O102+M102/Q102)*O125</f>
        <v>#REF!</v>
      </c>
      <c r="I125">
        <v>6000</v>
      </c>
      <c r="M125">
        <f t="shared" si="29"/>
        <v>-1.8880000000000001E-4</v>
      </c>
      <c r="O125">
        <f t="shared" si="30"/>
        <v>-7.3988188995382797E-12</v>
      </c>
    </row>
    <row r="126" spans="1:17" x14ac:dyDescent="0.3">
      <c r="A126" s="4"/>
      <c r="B126" s="4"/>
      <c r="C126" s="4"/>
      <c r="D126" s="4"/>
      <c r="E126" s="4"/>
      <c r="F126" s="4"/>
      <c r="G126" t="e">
        <f>(#REF!/O103+M103/Q103)*O126</f>
        <v>#REF!</v>
      </c>
      <c r="M126">
        <f t="shared" ref="M126:M134" si="31">-I104*D$166</f>
        <v>-6.0799999999999994E-5</v>
      </c>
      <c r="O126">
        <f t="shared" ref="O126:O134" si="32">(M126*(K$117^2))/((K$120^2)*(A$106*B106)*4*PI())</f>
        <v>-7.1480114792149481E-12</v>
      </c>
    </row>
    <row r="127" spans="1:17" x14ac:dyDescent="0.3">
      <c r="A127" s="4"/>
      <c r="B127" s="4"/>
      <c r="C127" s="4"/>
      <c r="D127" s="4"/>
      <c r="E127" s="4"/>
      <c r="F127" s="4"/>
      <c r="G127" t="e">
        <f>(#REF!/O104+M104/Q104)*O127</f>
        <v>#REF!</v>
      </c>
      <c r="M127">
        <f t="shared" si="31"/>
        <v>-7.9999999999999993E-5</v>
      </c>
      <c r="O127">
        <f t="shared" si="32"/>
        <v>-7.5242226096999463E-12</v>
      </c>
    </row>
    <row r="128" spans="1:17" x14ac:dyDescent="0.3">
      <c r="A128" s="4"/>
      <c r="B128" s="4"/>
      <c r="C128" s="4"/>
      <c r="D128" s="4"/>
      <c r="E128" s="4"/>
      <c r="F128" s="4"/>
      <c r="G128" t="e">
        <f>(#REF!/O105+M105/Q105)*O128</f>
        <v>#REF!</v>
      </c>
      <c r="M128">
        <f t="shared" si="31"/>
        <v>-9.4400000000000004E-5</v>
      </c>
      <c r="O128">
        <f t="shared" si="32"/>
        <v>-7.3988188995382797E-12</v>
      </c>
    </row>
    <row r="129" spans="1:15" x14ac:dyDescent="0.3">
      <c r="A129" s="4"/>
      <c r="B129" s="4"/>
      <c r="C129" s="4"/>
      <c r="D129" s="4"/>
      <c r="E129" s="4"/>
      <c r="F129" s="4"/>
      <c r="G129" t="e">
        <f>(#REF!/O106+M106/Q106)*O129</f>
        <v>#REF!</v>
      </c>
      <c r="M129">
        <f t="shared" si="31"/>
        <v>-1.1519999999999999E-4</v>
      </c>
      <c r="O129">
        <f t="shared" si="32"/>
        <v>-7.7392003985485155E-12</v>
      </c>
    </row>
    <row r="130" spans="1:15" ht="14.25" customHeight="1" x14ac:dyDescent="0.3">
      <c r="A130" s="4"/>
      <c r="B130" s="4"/>
      <c r="C130" s="4"/>
      <c r="D130" s="4"/>
      <c r="E130" s="4"/>
      <c r="F130" s="4"/>
      <c r="G130" t="e">
        <f>(#REF!/O107+M107/Q107)*O130</f>
        <v>#REF!</v>
      </c>
      <c r="M130">
        <f t="shared" si="31"/>
        <v>-1.2799999999999999E-4</v>
      </c>
      <c r="O130">
        <f t="shared" si="32"/>
        <v>-7.5242226096999463E-12</v>
      </c>
    </row>
    <row r="131" spans="1:15" ht="14.25" customHeight="1" x14ac:dyDescent="0.3">
      <c r="A131" s="4"/>
      <c r="B131" s="4"/>
      <c r="C131" s="4"/>
      <c r="D131" s="4"/>
      <c r="E131" s="4"/>
      <c r="F131" s="4"/>
      <c r="G131" t="e">
        <f>(#REF!/O108+M108/Q108)*O131</f>
        <v>#REF!</v>
      </c>
      <c r="M131">
        <f t="shared" si="31"/>
        <v>-1.44E-4</v>
      </c>
      <c r="O131">
        <f t="shared" si="32"/>
        <v>-7.5242226096999463E-12</v>
      </c>
    </row>
    <row r="132" spans="1:15" ht="14.25" customHeight="1" x14ac:dyDescent="0.3">
      <c r="A132" s="4"/>
      <c r="B132" s="4"/>
      <c r="C132" s="4"/>
      <c r="D132" s="4"/>
      <c r="E132" s="4"/>
      <c r="F132" s="4"/>
      <c r="G132" t="e">
        <f>(#REF!/O109+M109/Q109)*O132</f>
        <v>#REF!</v>
      </c>
      <c r="M132">
        <f t="shared" si="31"/>
        <v>-1.5680000000000002E-4</v>
      </c>
      <c r="O132">
        <f t="shared" si="32"/>
        <v>-7.3737381575059473E-12</v>
      </c>
    </row>
    <row r="133" spans="1:15" ht="14.25" customHeight="1" x14ac:dyDescent="0.3">
      <c r="A133" s="4"/>
      <c r="B133" s="4"/>
      <c r="C133" s="4"/>
      <c r="D133" s="4"/>
      <c r="E133" s="4"/>
      <c r="F133" s="4"/>
      <c r="G133" t="e">
        <f>(#REF!/O110+M110/Q110)*O133</f>
        <v>#REF!</v>
      </c>
      <c r="M133">
        <f t="shared" si="31"/>
        <v>-1.6799999999999999E-4</v>
      </c>
      <c r="O133">
        <f t="shared" si="32"/>
        <v>-7.1822124910772203E-12</v>
      </c>
    </row>
    <row r="134" spans="1:15" ht="14.25" customHeight="1" x14ac:dyDescent="0.3">
      <c r="A134" s="4"/>
      <c r="B134" s="4"/>
      <c r="C134" s="4"/>
      <c r="D134" s="4"/>
      <c r="E134" s="4"/>
      <c r="F134" s="4"/>
      <c r="G134" t="e">
        <f>(#REF!/O111+M111/Q111)*O134</f>
        <v>#REF!</v>
      </c>
      <c r="M134">
        <f t="shared" si="31"/>
        <v>-1.92E-4</v>
      </c>
      <c r="O134">
        <f t="shared" si="32"/>
        <v>-7.5242226096999463E-12</v>
      </c>
    </row>
    <row r="135" spans="1:15" ht="14.25" customHeight="1" x14ac:dyDescent="0.3">
      <c r="A135" s="4"/>
      <c r="B135" s="4"/>
      <c r="C135" s="4"/>
      <c r="D135" s="4"/>
      <c r="E135" s="4"/>
      <c r="F135" s="4"/>
    </row>
    <row r="136" spans="1:15" ht="14.25" customHeight="1" x14ac:dyDescent="0.3">
      <c r="A136" s="4"/>
      <c r="B136" s="4"/>
      <c r="C136" s="4"/>
      <c r="D136" s="4"/>
      <c r="E136" s="4"/>
      <c r="F136" s="4"/>
    </row>
    <row r="137" spans="1:15" ht="14.25" customHeight="1" x14ac:dyDescent="0.3">
      <c r="A137" s="4"/>
      <c r="B137" s="4"/>
      <c r="C137" s="4"/>
      <c r="D137" s="4"/>
      <c r="E137" s="4"/>
      <c r="F137" s="4"/>
    </row>
    <row r="138" spans="1:15" ht="14.25" customHeight="1" x14ac:dyDescent="0.3">
      <c r="A138" s="4"/>
      <c r="B138" s="4"/>
      <c r="C138" s="4"/>
      <c r="D138" s="4"/>
      <c r="E138" s="4"/>
      <c r="F138" s="4"/>
    </row>
    <row r="139" spans="1:15" ht="14.25" customHeight="1" x14ac:dyDescent="0.3">
      <c r="A139" s="4"/>
      <c r="B139" s="4"/>
      <c r="C139" s="4"/>
      <c r="D139" s="4"/>
      <c r="E139" s="4"/>
      <c r="F139" s="4"/>
    </row>
    <row r="140" spans="1:15" ht="14.25" customHeight="1" x14ac:dyDescent="0.3">
      <c r="A140" s="4"/>
      <c r="B140" s="4"/>
      <c r="C140" s="4"/>
      <c r="D140" s="4"/>
      <c r="E140" s="4"/>
      <c r="F140" s="4"/>
    </row>
    <row r="141" spans="1:15" ht="14.25" customHeight="1" x14ac:dyDescent="0.3">
      <c r="A141" s="4"/>
      <c r="B141" s="4"/>
      <c r="C141" s="4"/>
      <c r="D141" s="4"/>
      <c r="E141" s="4"/>
      <c r="F141" s="4"/>
    </row>
    <row r="142" spans="1:15" ht="14.25" customHeight="1" x14ac:dyDescent="0.3">
      <c r="A142" s="4"/>
      <c r="B142" s="4"/>
      <c r="C142" s="4"/>
      <c r="D142" s="4"/>
      <c r="E142" s="4"/>
      <c r="F142" s="4"/>
    </row>
    <row r="143" spans="1:15" ht="14.25" customHeight="1" x14ac:dyDescent="0.3">
      <c r="A143" s="4"/>
      <c r="B143" s="4"/>
      <c r="C143" s="4"/>
      <c r="D143" s="4"/>
      <c r="E143" s="4"/>
      <c r="F143" s="4"/>
    </row>
    <row r="144" spans="1:15" ht="14.25" customHeight="1" x14ac:dyDescent="0.3">
      <c r="A144" s="4"/>
      <c r="B144" s="4"/>
      <c r="C144" s="4"/>
      <c r="D144" s="4"/>
      <c r="E144" s="4"/>
      <c r="F144" s="4"/>
    </row>
    <row r="145" spans="1:15" ht="14.25" customHeight="1" x14ac:dyDescent="0.3">
      <c r="A145" s="4"/>
      <c r="B145" s="4"/>
      <c r="C145" s="4"/>
      <c r="D145" s="4"/>
      <c r="E145" s="4"/>
      <c r="F145" s="4"/>
    </row>
    <row r="146" spans="1:15" ht="14.25" customHeight="1" x14ac:dyDescent="0.3">
      <c r="A146" s="4"/>
      <c r="B146" s="4"/>
      <c r="C146" s="4"/>
      <c r="D146" s="4"/>
      <c r="E146" s="4"/>
      <c r="F146" s="4"/>
      <c r="G146" s="4"/>
    </row>
    <row r="147" spans="1:15" ht="14.25" customHeight="1" x14ac:dyDescent="0.3">
      <c r="A147" s="4"/>
      <c r="B147" s="4"/>
      <c r="C147" s="4"/>
      <c r="D147" s="4"/>
      <c r="E147" s="4"/>
      <c r="F147" s="4"/>
      <c r="G147" s="4"/>
    </row>
    <row r="148" spans="1:15" ht="14.25" customHeight="1" x14ac:dyDescent="0.3">
      <c r="A148" s="4"/>
      <c r="B148" s="4"/>
      <c r="C148" s="4"/>
      <c r="D148" s="4"/>
      <c r="E148" s="4"/>
      <c r="F148" s="4"/>
      <c r="G148" s="4"/>
    </row>
    <row r="149" spans="1:15" x14ac:dyDescent="0.3">
      <c r="A149" s="4"/>
      <c r="B149" s="4"/>
      <c r="C149" s="4"/>
      <c r="D149" s="4"/>
      <c r="E149" s="4"/>
      <c r="F149" s="4"/>
      <c r="G149" s="4"/>
    </row>
    <row r="150" spans="1:15" x14ac:dyDescent="0.3">
      <c r="A150" s="4"/>
      <c r="B150" s="4"/>
      <c r="C150" s="4"/>
      <c r="D150" s="4"/>
      <c r="E150" s="4"/>
      <c r="F150" s="4"/>
      <c r="G150" s="4"/>
    </row>
    <row r="151" spans="1:15" x14ac:dyDescent="0.3">
      <c r="A151" s="4"/>
      <c r="B151" s="4"/>
      <c r="C151" s="4"/>
      <c r="D151" s="4"/>
      <c r="E151" s="4"/>
      <c r="F151" s="4"/>
      <c r="G151" s="4"/>
    </row>
    <row r="152" spans="1:15" x14ac:dyDescent="0.3">
      <c r="A152" s="4"/>
      <c r="B152" s="4"/>
      <c r="C152" s="4"/>
      <c r="D152" s="4"/>
      <c r="E152" s="4"/>
      <c r="F152" s="4"/>
      <c r="G152" s="4"/>
    </row>
    <row r="153" spans="1:15" x14ac:dyDescent="0.3">
      <c r="A153" s="4"/>
      <c r="B153" s="4"/>
      <c r="C153" s="4"/>
      <c r="D153" s="4"/>
      <c r="E153" s="4"/>
      <c r="F153" s="4"/>
      <c r="G153" s="4"/>
    </row>
    <row r="154" spans="1:15" x14ac:dyDescent="0.3">
      <c r="A154" s="4"/>
      <c r="B154" s="4"/>
      <c r="C154" s="4"/>
      <c r="D154" s="4"/>
      <c r="E154" s="4"/>
      <c r="F154" s="4"/>
      <c r="G154" s="4"/>
    </row>
    <row r="156" spans="1:15" x14ac:dyDescent="0.3">
      <c r="O156" s="7"/>
    </row>
    <row r="157" spans="1:15" x14ac:dyDescent="0.3">
      <c r="A157" s="2"/>
      <c r="B157" s="77" t="s">
        <v>60</v>
      </c>
      <c r="C157" s="77"/>
      <c r="D157" s="77"/>
    </row>
    <row r="158" spans="1:15" x14ac:dyDescent="0.3">
      <c r="B158" s="70" t="s">
        <v>62</v>
      </c>
      <c r="C158" s="82" t="s">
        <v>63</v>
      </c>
      <c r="D158" s="83"/>
      <c r="E158" s="84"/>
      <c r="F158" s="71"/>
      <c r="G158" s="7" t="s">
        <v>64</v>
      </c>
      <c r="H158" s="7"/>
      <c r="I158" s="69" t="s">
        <v>65</v>
      </c>
      <c r="J158" s="69"/>
      <c r="K158" s="7" t="s">
        <v>66</v>
      </c>
      <c r="M158" s="7" t="s">
        <v>71</v>
      </c>
      <c r="O158" s="7" t="s">
        <v>67</v>
      </c>
    </row>
    <row r="159" spans="1:15" x14ac:dyDescent="0.3">
      <c r="B159" s="14">
        <v>20</v>
      </c>
      <c r="C159" s="14">
        <v>18</v>
      </c>
      <c r="D159" s="15">
        <v>29</v>
      </c>
      <c r="E159" s="16">
        <v>22</v>
      </c>
      <c r="F159" s="4"/>
      <c r="G159">
        <f>B166/D$166</f>
        <v>24.525000000000006</v>
      </c>
      <c r="I159">
        <f>B159/9.81</f>
        <v>2.038735983690112</v>
      </c>
      <c r="K159">
        <f>AVERAGE(C159:E159)</f>
        <v>23</v>
      </c>
      <c r="M159">
        <v>1</v>
      </c>
      <c r="O159" t="e">
        <f>(M159/K159)+(H$166/D$166)</f>
        <v>#REF!</v>
      </c>
    </row>
    <row r="160" spans="1:15" x14ac:dyDescent="0.3">
      <c r="B160" s="17">
        <v>40</v>
      </c>
      <c r="C160" s="17">
        <v>49</v>
      </c>
      <c r="D160" s="4">
        <v>50</v>
      </c>
      <c r="E160" s="18">
        <v>48</v>
      </c>
      <c r="F160" s="4"/>
      <c r="G160">
        <f>D$166*B167</f>
        <v>3.1392000000000001E-9</v>
      </c>
      <c r="I160">
        <f>B160/9.81</f>
        <v>4.077471967380224</v>
      </c>
      <c r="K160">
        <f t="shared" ref="K160:K163" si="33">AVERAGE(C160:E160)</f>
        <v>49</v>
      </c>
      <c r="M160">
        <v>1</v>
      </c>
      <c r="O160" t="e">
        <f>(M160/K160)+(H$166/D$166)</f>
        <v>#REF!</v>
      </c>
    </row>
    <row r="161" spans="2:17" x14ac:dyDescent="0.3">
      <c r="B161" s="17">
        <v>50</v>
      </c>
      <c r="C161" s="17">
        <v>53</v>
      </c>
      <c r="D161" s="4">
        <v>55</v>
      </c>
      <c r="E161" s="18">
        <v>54</v>
      </c>
      <c r="F161" s="4"/>
      <c r="G161">
        <f>D$166*B168</f>
        <v>3.9240000000000001E-9</v>
      </c>
      <c r="I161">
        <f>B161/9.81</f>
        <v>5.0968399592252798</v>
      </c>
      <c r="K161">
        <f t="shared" si="33"/>
        <v>54</v>
      </c>
      <c r="M161">
        <v>1</v>
      </c>
      <c r="O161" t="e">
        <f>(M161/K161)+(H$166/D$166)</f>
        <v>#REF!</v>
      </c>
    </row>
    <row r="162" spans="2:17" x14ac:dyDescent="0.3">
      <c r="B162" s="17">
        <v>70</v>
      </c>
      <c r="C162" s="17">
        <v>68</v>
      </c>
      <c r="D162" s="4">
        <v>72</v>
      </c>
      <c r="E162" s="18">
        <v>78</v>
      </c>
      <c r="F162" s="4"/>
      <c r="G162">
        <f>D$166*B169</f>
        <v>5.4936000000000001E-9</v>
      </c>
      <c r="I162">
        <f>B162/9.81</f>
        <v>7.1355759429153922</v>
      </c>
      <c r="K162">
        <f t="shared" si="33"/>
        <v>72.666666666666671</v>
      </c>
      <c r="M162">
        <v>1</v>
      </c>
      <c r="O162" t="e">
        <f>(M162/K162)+(H$166/D$166)</f>
        <v>#REF!</v>
      </c>
    </row>
    <row r="163" spans="2:17" x14ac:dyDescent="0.3">
      <c r="B163" s="19">
        <v>90</v>
      </c>
      <c r="C163" s="19">
        <v>123</v>
      </c>
      <c r="D163" s="20">
        <v>106</v>
      </c>
      <c r="E163" s="21">
        <v>114</v>
      </c>
      <c r="F163" s="4"/>
      <c r="G163">
        <f>D$166*B170</f>
        <v>7.0632000000000002E-9</v>
      </c>
      <c r="I163">
        <f>B163/9.81</f>
        <v>9.1743119266055047</v>
      </c>
      <c r="K163">
        <f t="shared" si="33"/>
        <v>114.33333333333333</v>
      </c>
      <c r="M163">
        <v>1</v>
      </c>
      <c r="O163" t="e">
        <f>(M163/K163)+(H$166/D$166)</f>
        <v>#REF!</v>
      </c>
    </row>
    <row r="165" spans="2:17" x14ac:dyDescent="0.3">
      <c r="B165" t="s">
        <v>61</v>
      </c>
      <c r="D165" s="49" t="s">
        <v>72</v>
      </c>
      <c r="F165" s="7" t="s">
        <v>77</v>
      </c>
      <c r="H165" s="7" t="s">
        <v>73</v>
      </c>
      <c r="L165" s="7" t="s">
        <v>81</v>
      </c>
      <c r="O165" s="7" t="s">
        <v>68</v>
      </c>
    </row>
    <row r="166" spans="2:17" x14ac:dyDescent="0.3">
      <c r="B166">
        <f>B159*9.81/1000000</f>
        <v>1.9620000000000003E-4</v>
      </c>
      <c r="D166" s="8">
        <f>8*10^(-6)</f>
        <v>7.9999999999999996E-6</v>
      </c>
      <c r="F166">
        <f>4*PI()*8.85*10^(-12)*1.9*10^(-2)</f>
        <v>2.1130352188044945E-12</v>
      </c>
      <c r="H166" t="e">
        <f>L166*SQRT(5/D169)</f>
        <v>#REF!</v>
      </c>
      <c r="L166" t="e">
        <f>SQRT((1/5) * SUM(#REF!))</f>
        <v>#REF!</v>
      </c>
      <c r="O166">
        <f>2*PI()*K159/360</f>
        <v>0.40142572795869574</v>
      </c>
    </row>
    <row r="167" spans="2:17" x14ac:dyDescent="0.3">
      <c r="B167">
        <f>B160*9.81/1000000</f>
        <v>3.9240000000000005E-4</v>
      </c>
      <c r="O167">
        <f>2*PI()*K160/360</f>
        <v>0.85521133347722145</v>
      </c>
    </row>
    <row r="168" spans="2:17" x14ac:dyDescent="0.3">
      <c r="B168">
        <f>B161*9.81/1000000</f>
        <v>4.9050000000000005E-4</v>
      </c>
      <c r="D168" s="7" t="s">
        <v>14</v>
      </c>
      <c r="O168">
        <f>2*PI()*K161/360</f>
        <v>0.94247779607693793</v>
      </c>
      <c r="Q168" s="7"/>
    </row>
    <row r="169" spans="2:17" x14ac:dyDescent="0.3">
      <c r="B169">
        <f>B162*9.81/1000000</f>
        <v>6.8670000000000005E-4</v>
      </c>
      <c r="D169">
        <f>5*SUM(N177:N181)-(SUM(K159:K163))^2</f>
        <v>23023.777777777781</v>
      </c>
      <c r="O169">
        <f>2*PI()*K162/360</f>
        <v>1.2682725897825462</v>
      </c>
    </row>
    <row r="170" spans="2:17" x14ac:dyDescent="0.3">
      <c r="B170">
        <f>B163*9.81/1000000</f>
        <v>8.8290000000000005E-4</v>
      </c>
      <c r="O170">
        <f>2*PI()*K163/360</f>
        <v>1.9954931114468502</v>
      </c>
    </row>
    <row r="172" spans="2:17" x14ac:dyDescent="0.3">
      <c r="B172" s="7" t="s">
        <v>84</v>
      </c>
    </row>
    <row r="173" spans="2:17" x14ac:dyDescent="0.3">
      <c r="B173" t="s">
        <v>86</v>
      </c>
    </row>
    <row r="174" spans="2:17" x14ac:dyDescent="0.3">
      <c r="B174" t="s">
        <v>87</v>
      </c>
    </row>
    <row r="176" spans="2:17" x14ac:dyDescent="0.3">
      <c r="B176" s="7" t="s">
        <v>74</v>
      </c>
      <c r="D176" s="7" t="s">
        <v>75</v>
      </c>
      <c r="F176" s="49" t="s">
        <v>76</v>
      </c>
      <c r="H176" s="7" t="s">
        <v>47</v>
      </c>
      <c r="J176">
        <f>F177/(D$166*B177)</f>
        <v>1.2266666666666667E-8</v>
      </c>
      <c r="L176" s="7" t="s">
        <v>80</v>
      </c>
      <c r="N176" s="7" t="s">
        <v>85</v>
      </c>
    </row>
    <row r="177" spans="2:14" x14ac:dyDescent="0.3">
      <c r="B177">
        <f t="shared" ref="B177:B185" si="34">B106*6000/(0.08^2)</f>
        <v>1875000000</v>
      </c>
      <c r="D177">
        <f t="shared" ref="D177:D185" si="35">B177*D$166*F$166^2</f>
        <v>6.6973767538622371E-20</v>
      </c>
      <c r="F177" s="8">
        <f>D$166*K159</f>
        <v>1.84E-4</v>
      </c>
      <c r="H177" t="e">
        <f>(O159/F177)+(2*0.001/0.08)</f>
        <v>#REF!</v>
      </c>
      <c r="J177">
        <f>F178/(D$166*B178)</f>
        <v>2.0906666666666667E-8</v>
      </c>
      <c r="L177">
        <f>(B166-D$166*K159)^2</f>
        <v>1.4884000000000062E-10</v>
      </c>
      <c r="N177">
        <f>K159^2</f>
        <v>529</v>
      </c>
    </row>
    <row r="178" spans="2:14" x14ac:dyDescent="0.3">
      <c r="B178">
        <f t="shared" si="34"/>
        <v>2343750000</v>
      </c>
      <c r="D178">
        <f t="shared" si="35"/>
        <v>8.3717209423277963E-20</v>
      </c>
      <c r="F178" s="8">
        <f>D$166*K160</f>
        <v>3.9199999999999999E-4</v>
      </c>
      <c r="J178">
        <f>F179/(D$166*B179)</f>
        <v>1.92E-8</v>
      </c>
      <c r="L178">
        <f>(B167-D$166*K160)^2</f>
        <v>1.6000000000005114E-13</v>
      </c>
      <c r="N178">
        <f>K160^2</f>
        <v>2401</v>
      </c>
    </row>
    <row r="179" spans="2:14" x14ac:dyDescent="0.3">
      <c r="B179">
        <f t="shared" si="34"/>
        <v>2812500000</v>
      </c>
      <c r="D179">
        <f t="shared" si="35"/>
        <v>1.0046065130793354E-19</v>
      </c>
      <c r="F179" s="8">
        <f>D$166*K161</f>
        <v>4.3199999999999998E-4</v>
      </c>
      <c r="J179">
        <f>F180/(D$166*B180)</f>
        <v>2.2146031746031745E-8</v>
      </c>
      <c r="L179">
        <f>(B168-D$166*K161)^2</f>
        <v>3.4222500000000077E-9</v>
      </c>
      <c r="N179">
        <f>K161^2</f>
        <v>2916</v>
      </c>
    </row>
    <row r="180" spans="2:14" x14ac:dyDescent="0.3">
      <c r="B180">
        <f t="shared" si="34"/>
        <v>3281250000</v>
      </c>
      <c r="D180">
        <f t="shared" si="35"/>
        <v>1.1720409319258914E-19</v>
      </c>
      <c r="F180" s="8">
        <f>D$166*K162</f>
        <v>5.8133333333333333E-4</v>
      </c>
      <c r="J180">
        <f>F181/(D$166*B181)</f>
        <v>3.0488888888888888E-8</v>
      </c>
      <c r="L180">
        <f>(B169-D$166*K162)^2</f>
        <v>1.1102134444444455E-8</v>
      </c>
      <c r="N180">
        <f>K162^2</f>
        <v>5280.4444444444453</v>
      </c>
    </row>
    <row r="181" spans="2:14" x14ac:dyDescent="0.3">
      <c r="B181">
        <f t="shared" si="34"/>
        <v>3750000000</v>
      </c>
      <c r="D181">
        <f t="shared" si="35"/>
        <v>1.3394753507724474E-19</v>
      </c>
      <c r="F181" s="8">
        <f>D$166*K163</f>
        <v>9.146666666666666E-4</v>
      </c>
      <c r="L181">
        <f>(B170-D$166*K163)^2</f>
        <v>1.0091211111111039E-9</v>
      </c>
      <c r="N181">
        <f>K163^2</f>
        <v>13072.111111111109</v>
      </c>
    </row>
    <row r="182" spans="2:14" x14ac:dyDescent="0.3">
      <c r="B182">
        <f t="shared" si="34"/>
        <v>4218750000</v>
      </c>
      <c r="D182">
        <f t="shared" si="35"/>
        <v>1.5069097696190032E-19</v>
      </c>
    </row>
    <row r="183" spans="2:14" x14ac:dyDescent="0.3">
      <c r="B183">
        <f t="shared" si="34"/>
        <v>4687500000</v>
      </c>
      <c r="D183">
        <f t="shared" si="35"/>
        <v>1.6743441884655593E-19</v>
      </c>
    </row>
    <row r="184" spans="2:14" x14ac:dyDescent="0.3">
      <c r="B184">
        <f t="shared" si="34"/>
        <v>5156250000</v>
      </c>
      <c r="D184">
        <f t="shared" si="35"/>
        <v>1.8417786073121151E-19</v>
      </c>
    </row>
    <row r="185" spans="2:14" x14ac:dyDescent="0.3">
      <c r="B185">
        <f t="shared" si="34"/>
        <v>5625000000</v>
      </c>
      <c r="D185">
        <f t="shared" si="35"/>
        <v>2.0092130261586709E-19</v>
      </c>
    </row>
  </sheetData>
  <mergeCells count="5">
    <mergeCell ref="C9:G9"/>
    <mergeCell ref="C93:G93"/>
    <mergeCell ref="B157:D157"/>
    <mergeCell ref="C158:E158"/>
    <mergeCell ref="B3:S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Alessio Martini</dc:creator>
  <cp:keywords/>
  <dc:description/>
  <cp:lastModifiedBy>Alessio Martini</cp:lastModifiedBy>
  <cp:revision/>
  <dcterms:created xsi:type="dcterms:W3CDTF">2021-04-06T14:32:44Z</dcterms:created>
  <dcterms:modified xsi:type="dcterms:W3CDTF">2021-05-09T22:02:09Z</dcterms:modified>
  <cp:category/>
  <cp:contentStatus/>
</cp:coreProperties>
</file>