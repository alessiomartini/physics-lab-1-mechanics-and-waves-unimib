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ibit-my.sharepoint.com/personal/a_martini25_campus_unimib_it/Documents/"/>
    </mc:Choice>
  </mc:AlternateContent>
  <xr:revisionPtr revIDLastSave="556" documentId="11_E60897F41BE170836B02CE998F75CCDC64E183C8" xr6:coauthVersionLast="46" xr6:coauthVersionMax="47" xr10:uidLastSave="{D9688704-2F7A-4ABE-9F40-900EFAB9044D}"/>
  <bookViews>
    <workbookView xWindow="-108" yWindow="-108" windowWidth="23256" windowHeight="12576" activeTab="3" xr2:uid="{00000000-000D-0000-FFFF-FFFF00000000}"/>
  </bookViews>
  <sheets>
    <sheet name="Molla 1" sheetId="2" r:id="rId1"/>
    <sheet name="Molla 2" sheetId="3" r:id="rId2"/>
    <sheet name="Parallelo 1-2" sheetId="1" r:id="rId3"/>
    <sheet name="dinamica molla 1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C12" i="4"/>
  <c r="C11" i="4"/>
  <c r="C5" i="4"/>
  <c r="C6" i="4"/>
  <c r="G5" i="4" s="1"/>
  <c r="G7" i="4" s="1"/>
  <c r="C3" i="4"/>
  <c r="C1" i="4"/>
  <c r="C2" i="4"/>
  <c r="AI7" i="1"/>
  <c r="AI6" i="1"/>
  <c r="AH9" i="1"/>
  <c r="AB8" i="1"/>
  <c r="AB8" i="3"/>
  <c r="AB8" i="2"/>
  <c r="AG5" i="1"/>
  <c r="AG4" i="1"/>
  <c r="AG3" i="1"/>
  <c r="AH8" i="1"/>
  <c r="AE6" i="2"/>
  <c r="AE6" i="3"/>
  <c r="AE6" i="1"/>
  <c r="T7" i="1"/>
  <c r="T8" i="1" s="1"/>
  <c r="R7" i="1"/>
  <c r="R8" i="1" s="1"/>
  <c r="P7" i="1"/>
  <c r="P8" i="1" s="1"/>
  <c r="N7" i="1"/>
  <c r="N8" i="1" s="1"/>
  <c r="L7" i="1"/>
  <c r="L8" i="1" s="1"/>
  <c r="H7" i="1"/>
  <c r="H8" i="1" s="1"/>
  <c r="F7" i="1"/>
  <c r="F8" i="1" s="1"/>
  <c r="T5" i="1"/>
  <c r="T6" i="1" s="1"/>
  <c r="R5" i="1"/>
  <c r="R6" i="1" s="1"/>
  <c r="P5" i="1"/>
  <c r="P6" i="1" s="1"/>
  <c r="N5" i="1"/>
  <c r="N6" i="1" s="1"/>
  <c r="L5" i="1"/>
  <c r="L6" i="1" s="1"/>
  <c r="J5" i="1"/>
  <c r="J6" i="1" s="1"/>
  <c r="H5" i="1"/>
  <c r="H6" i="1" s="1"/>
  <c r="F5" i="1"/>
  <c r="F6" i="1" s="1"/>
  <c r="B5" i="1"/>
  <c r="B6" i="1"/>
  <c r="D5" i="1"/>
  <c r="D6" i="1" s="1"/>
  <c r="B7" i="1"/>
  <c r="B8" i="1" s="1"/>
  <c r="J7" i="1"/>
  <c r="J8" i="1" s="1"/>
  <c r="D7" i="1"/>
  <c r="D8" i="1" s="1"/>
  <c r="T4" i="1"/>
  <c r="S4" i="1"/>
  <c r="R4" i="1"/>
  <c r="Q4" i="1"/>
  <c r="P4" i="1"/>
  <c r="O4" i="1"/>
  <c r="N4" i="1"/>
  <c r="M4" i="1"/>
  <c r="L4" i="1"/>
  <c r="K4" i="1"/>
  <c r="J4" i="1"/>
  <c r="J10" i="1" s="1"/>
  <c r="I4" i="1"/>
  <c r="H4" i="1"/>
  <c r="G4" i="1"/>
  <c r="F4" i="1"/>
  <c r="E4" i="1"/>
  <c r="D4" i="1"/>
  <c r="C4" i="1"/>
  <c r="B4" i="1"/>
  <c r="Y11" i="3"/>
  <c r="Y10" i="3"/>
  <c r="Y9" i="3"/>
  <c r="Y8" i="3"/>
  <c r="Y7" i="3"/>
  <c r="B7" i="3"/>
  <c r="B8" i="3" s="1"/>
  <c r="B5" i="3"/>
  <c r="B6" i="3" s="1"/>
  <c r="B5" i="2"/>
  <c r="B6" i="2" s="1"/>
  <c r="T7" i="3"/>
  <c r="T8" i="3" s="1"/>
  <c r="R7" i="3"/>
  <c r="R8" i="3" s="1"/>
  <c r="P7" i="3"/>
  <c r="P8" i="3" s="1"/>
  <c r="N7" i="3"/>
  <c r="N8" i="3" s="1"/>
  <c r="L7" i="3"/>
  <c r="L8" i="3" s="1"/>
  <c r="J7" i="3"/>
  <c r="J8" i="3" s="1"/>
  <c r="H7" i="3"/>
  <c r="H8" i="3" s="1"/>
  <c r="F7" i="3"/>
  <c r="F8" i="3" s="1"/>
  <c r="D7" i="3"/>
  <c r="D8" i="3" s="1"/>
  <c r="T5" i="3"/>
  <c r="T6" i="3" s="1"/>
  <c r="R5" i="3"/>
  <c r="R6" i="3" s="1"/>
  <c r="P5" i="3"/>
  <c r="P6" i="3" s="1"/>
  <c r="N5" i="3"/>
  <c r="N6" i="3" s="1"/>
  <c r="L5" i="3"/>
  <c r="L6" i="3" s="1"/>
  <c r="J5" i="3"/>
  <c r="J6" i="3" s="1"/>
  <c r="H5" i="3"/>
  <c r="H6" i="3" s="1"/>
  <c r="F5" i="3"/>
  <c r="F6" i="3" s="1"/>
  <c r="D5" i="3"/>
  <c r="D6" i="3" s="1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U7" i="2"/>
  <c r="U8" i="2" s="1"/>
  <c r="U9" i="2" s="1"/>
  <c r="S7" i="2"/>
  <c r="S8" i="2" s="1"/>
  <c r="S10" i="2" s="1"/>
  <c r="Q7" i="2"/>
  <c r="Q8" i="2" s="1"/>
  <c r="O7" i="2"/>
  <c r="O8" i="2" s="1"/>
  <c r="O10" i="2" s="1"/>
  <c r="M7" i="2"/>
  <c r="M8" i="2" s="1"/>
  <c r="M9" i="2" s="1"/>
  <c r="K7" i="2"/>
  <c r="K8" i="2" s="1"/>
  <c r="I7" i="2"/>
  <c r="I8" i="2" s="1"/>
  <c r="G7" i="2"/>
  <c r="G8" i="2" s="1"/>
  <c r="E7" i="2"/>
  <c r="E8" i="2" s="1"/>
  <c r="E9" i="2" s="1"/>
  <c r="B7" i="2"/>
  <c r="B8" i="2" s="1"/>
  <c r="U5" i="2"/>
  <c r="S5" i="2"/>
  <c r="Q5" i="2"/>
  <c r="Q6" i="2" s="1"/>
  <c r="O5" i="2"/>
  <c r="M5" i="2"/>
  <c r="M6" i="2" s="1"/>
  <c r="K5" i="2"/>
  <c r="K6" i="2" s="1"/>
  <c r="I5" i="2"/>
  <c r="I6" i="2" s="1"/>
  <c r="G5" i="2"/>
  <c r="G6" i="2" s="1"/>
  <c r="E5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B4" i="2"/>
  <c r="F11" i="1" l="1"/>
  <c r="D10" i="1"/>
  <c r="N9" i="1"/>
  <c r="T12" i="1"/>
  <c r="N12" i="1"/>
  <c r="N10" i="1"/>
  <c r="F10" i="1"/>
  <c r="L10" i="1"/>
  <c r="T10" i="1"/>
  <c r="B10" i="1"/>
  <c r="R10" i="1"/>
  <c r="P12" i="1"/>
  <c r="P11" i="1"/>
  <c r="H11" i="1"/>
  <c r="H12" i="1"/>
  <c r="B12" i="1"/>
  <c r="B11" i="1"/>
  <c r="B9" i="1"/>
  <c r="D12" i="1"/>
  <c r="D11" i="1"/>
  <c r="J12" i="1"/>
  <c r="J11" i="1"/>
  <c r="R12" i="1"/>
  <c r="R11" i="1"/>
  <c r="R9" i="1"/>
  <c r="H10" i="1"/>
  <c r="P9" i="1"/>
  <c r="L12" i="1"/>
  <c r="L11" i="1"/>
  <c r="F12" i="1"/>
  <c r="D9" i="1"/>
  <c r="T9" i="1"/>
  <c r="P10" i="1"/>
  <c r="F9" i="1"/>
  <c r="N11" i="1"/>
  <c r="H9" i="1"/>
  <c r="J9" i="1"/>
  <c r="L9" i="1"/>
  <c r="T11" i="1"/>
  <c r="Y5" i="3"/>
  <c r="AB6" i="3" s="1"/>
  <c r="T10" i="3"/>
  <c r="J12" i="3"/>
  <c r="F11" i="3"/>
  <c r="F10" i="3"/>
  <c r="B9" i="3"/>
  <c r="F9" i="3"/>
  <c r="J9" i="3"/>
  <c r="D10" i="3"/>
  <c r="L10" i="3"/>
  <c r="N10" i="3"/>
  <c r="H9" i="3"/>
  <c r="H12" i="3"/>
  <c r="H11" i="3"/>
  <c r="L12" i="3"/>
  <c r="L11" i="3"/>
  <c r="N12" i="3"/>
  <c r="N11" i="3"/>
  <c r="H10" i="3"/>
  <c r="P12" i="3"/>
  <c r="P11" i="3"/>
  <c r="D12" i="3"/>
  <c r="D11" i="3"/>
  <c r="T12" i="3"/>
  <c r="T11" i="3"/>
  <c r="P10" i="3"/>
  <c r="R12" i="3"/>
  <c r="R11" i="3"/>
  <c r="R10" i="3"/>
  <c r="R9" i="3"/>
  <c r="L9" i="3"/>
  <c r="J10" i="3"/>
  <c r="F12" i="3"/>
  <c r="N9" i="3"/>
  <c r="J11" i="3"/>
  <c r="P9" i="3"/>
  <c r="D9" i="3"/>
  <c r="T9" i="3"/>
  <c r="B12" i="3"/>
  <c r="B11" i="3"/>
  <c r="B10" i="3"/>
  <c r="K9" i="2"/>
  <c r="I9" i="2"/>
  <c r="Q11" i="2"/>
  <c r="K11" i="2"/>
  <c r="I11" i="2"/>
  <c r="B11" i="2"/>
  <c r="S9" i="2"/>
  <c r="Q10" i="2"/>
  <c r="S12" i="2"/>
  <c r="K12" i="2"/>
  <c r="Q9" i="2"/>
  <c r="M10" i="2"/>
  <c r="K10" i="2"/>
  <c r="I12" i="2"/>
  <c r="G9" i="2"/>
  <c r="O11" i="2"/>
  <c r="Q12" i="2"/>
  <c r="I10" i="2"/>
  <c r="B10" i="2"/>
  <c r="M11" i="2"/>
  <c r="U10" i="2"/>
  <c r="E10" i="2"/>
  <c r="U12" i="2"/>
  <c r="E12" i="2"/>
  <c r="S6" i="2"/>
  <c r="S11" i="2"/>
  <c r="O6" i="2"/>
  <c r="U6" i="2"/>
  <c r="E6" i="2"/>
  <c r="G11" i="2"/>
  <c r="O12" i="2"/>
  <c r="U11" i="2"/>
  <c r="E11" i="2"/>
  <c r="M12" i="2"/>
  <c r="O9" i="2"/>
  <c r="G12" i="2"/>
  <c r="G10" i="2"/>
  <c r="B12" i="2"/>
  <c r="B9" i="2"/>
  <c r="Y7" i="1" l="1"/>
  <c r="Y8" i="1"/>
  <c r="Y11" i="1"/>
  <c r="Y9" i="1"/>
  <c r="Y10" i="1"/>
  <c r="AB5" i="3"/>
  <c r="Y7" i="2"/>
  <c r="Y10" i="2"/>
  <c r="Y11" i="2"/>
  <c r="Y9" i="2"/>
  <c r="Y5" i="2" s="1"/>
  <c r="AB6" i="2" s="1"/>
  <c r="Y8" i="2"/>
  <c r="Y5" i="1" l="1"/>
  <c r="AB5" i="1" s="1"/>
  <c r="AB5" i="2"/>
  <c r="AB6" i="1" l="1"/>
</calcChain>
</file>

<file path=xl/sharedStrings.xml><?xml version="1.0" encoding="utf-8"?>
<sst xmlns="http://schemas.openxmlformats.org/spreadsheetml/2006/main" count="119" uniqueCount="52">
  <si>
    <t>Position (m) parallelo 1-2</t>
  </si>
  <si>
    <t>Time (s) Auto</t>
  </si>
  <si>
    <t>Position (m) molla 1</t>
  </si>
  <si>
    <t>Position (m) molla 2</t>
  </si>
  <si>
    <t>m (g) 0 20 40 60 100 200 300 400 500 700</t>
  </si>
  <si>
    <t xml:space="preserve">media </t>
  </si>
  <si>
    <t>deviazione</t>
  </si>
  <si>
    <t>INTERPOLAZIONE</t>
  </si>
  <si>
    <t>pesi</t>
  </si>
  <si>
    <t>delta</t>
  </si>
  <si>
    <t>pesi * x^2</t>
  </si>
  <si>
    <t>pesi * x</t>
  </si>
  <si>
    <t>X*PESO</t>
  </si>
  <si>
    <t>X^2*PESO</t>
  </si>
  <si>
    <t>MASSA grammi</t>
  </si>
  <si>
    <t>massa kg</t>
  </si>
  <si>
    <t>peso*y</t>
  </si>
  <si>
    <t>peso*y*w</t>
  </si>
  <si>
    <t>pesi*y</t>
  </si>
  <si>
    <t>pesy*x*y</t>
  </si>
  <si>
    <t>A=</t>
  </si>
  <si>
    <t>B=</t>
  </si>
  <si>
    <t>calibrazione</t>
  </si>
  <si>
    <t>incertezza calibrazione</t>
  </si>
  <si>
    <t>x^2</t>
  </si>
  <si>
    <t>B=1/k</t>
  </si>
  <si>
    <t>K=</t>
  </si>
  <si>
    <t>somma=</t>
  </si>
  <si>
    <t>retta interpolaz</t>
  </si>
  <si>
    <t>punto 1</t>
  </si>
  <si>
    <t>x</t>
  </si>
  <si>
    <t>y</t>
  </si>
  <si>
    <t>punto 2</t>
  </si>
  <si>
    <t>punto 3</t>
  </si>
  <si>
    <t>sigma B</t>
  </si>
  <si>
    <t>sigma relativa</t>
  </si>
  <si>
    <t>diff val</t>
  </si>
  <si>
    <t>somma inc</t>
  </si>
  <si>
    <t>T</t>
  </si>
  <si>
    <t>omega</t>
  </si>
  <si>
    <t>e' la y</t>
  </si>
  <si>
    <t>T^2</t>
  </si>
  <si>
    <t>mportapesi = 90.00 g, mmolla1 = 11.32</t>
  </si>
  <si>
    <t>M grammi</t>
  </si>
  <si>
    <t>M kg</t>
  </si>
  <si>
    <t>coef ang</t>
  </si>
  <si>
    <t>t^2=4pi^2*M/k</t>
  </si>
  <si>
    <t>k=</t>
  </si>
  <si>
    <t>SENZA MASSA MOLLA</t>
  </si>
  <si>
    <t>CON MASSA MOLLA</t>
  </si>
  <si>
    <t>massa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</si>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</sst>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Valori Misurati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'Molla 1'!$B$4:$U$4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0.19620000000000001</c:v>
                </c:pt>
                <c:pt idx="4">
                  <c:v>0</c:v>
                </c:pt>
                <c:pt idx="5">
                  <c:v>0.39240000000000003</c:v>
                </c:pt>
                <c:pt idx="6">
                  <c:v>0</c:v>
                </c:pt>
                <c:pt idx="7">
                  <c:v>0.58860000000000001</c:v>
                </c:pt>
                <c:pt idx="8">
                  <c:v>0</c:v>
                </c:pt>
                <c:pt idx="9">
                  <c:v>0.98099999999999998</c:v>
                </c:pt>
                <c:pt idx="10">
                  <c:v>0</c:v>
                </c:pt>
                <c:pt idx="11">
                  <c:v>1.962</c:v>
                </c:pt>
                <c:pt idx="12">
                  <c:v>0</c:v>
                </c:pt>
                <c:pt idx="13">
                  <c:v>2.9430000000000001</c:v>
                </c:pt>
                <c:pt idx="14">
                  <c:v>0</c:v>
                </c:pt>
                <c:pt idx="15">
                  <c:v>3.9239999999999999</c:v>
                </c:pt>
                <c:pt idx="16">
                  <c:v>0</c:v>
                </c:pt>
                <c:pt idx="17">
                  <c:v>4.9050000000000002</c:v>
                </c:pt>
                <c:pt idx="18">
                  <c:v>0</c:v>
                </c:pt>
                <c:pt idx="19">
                  <c:v>6.867</c:v>
                </c:pt>
              </c:numCache>
            </c:numRef>
          </c:xVal>
          <c:yVal>
            <c:numRef>
              <c:f>'Molla 1'!$B$5:$U$5</c:f>
              <c:numCache>
                <c:formatCode>General</c:formatCode>
                <c:ptCount val="20"/>
                <c:pt idx="0">
                  <c:v>0</c:v>
                </c:pt>
                <c:pt idx="3">
                  <c:v>5.956533333333458E-3</c:v>
                </c:pt>
                <c:pt idx="5">
                  <c:v>1.2101288741721783E-2</c:v>
                </c:pt>
                <c:pt idx="7">
                  <c:v>1.8259235761588721E-2</c:v>
                </c:pt>
                <c:pt idx="9">
                  <c:v>3.0402757894736732E-2</c:v>
                </c:pt>
                <c:pt idx="11">
                  <c:v>6.2561138461538213E-2</c:v>
                </c:pt>
                <c:pt idx="13">
                  <c:v>9.3662555801104885E-2</c:v>
                </c:pt>
                <c:pt idx="15">
                  <c:v>0.12558943333333292</c:v>
                </c:pt>
                <c:pt idx="17">
                  <c:v>0.15564841215469555</c:v>
                </c:pt>
                <c:pt idx="19">
                  <c:v>0.21728399226519277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72E-462A-8905-084690F46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238095"/>
        <c:axId val="1381241839"/>
      </c:scatterChart>
      <c:valAx>
        <c:axId val="138123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41839"/>
        <c:crosses val="autoZero"/>
        <c:crossBetween val="midCat"/>
      </c:valAx>
      <c:valAx>
        <c:axId val="13812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38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 misurati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'Molla 2'!$B$4:$T$4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0.19620000000000001</c:v>
                </c:pt>
                <c:pt idx="3">
                  <c:v>0</c:v>
                </c:pt>
                <c:pt idx="4">
                  <c:v>0.39240000000000003</c:v>
                </c:pt>
                <c:pt idx="5">
                  <c:v>0</c:v>
                </c:pt>
                <c:pt idx="6">
                  <c:v>0.58860000000000001</c:v>
                </c:pt>
                <c:pt idx="7">
                  <c:v>0</c:v>
                </c:pt>
                <c:pt idx="8">
                  <c:v>0.98099999999999998</c:v>
                </c:pt>
                <c:pt idx="9">
                  <c:v>0</c:v>
                </c:pt>
                <c:pt idx="10">
                  <c:v>1.962</c:v>
                </c:pt>
                <c:pt idx="11">
                  <c:v>0</c:v>
                </c:pt>
                <c:pt idx="12">
                  <c:v>2.9430000000000001</c:v>
                </c:pt>
                <c:pt idx="13">
                  <c:v>0</c:v>
                </c:pt>
                <c:pt idx="14">
                  <c:v>3.9239999999999999</c:v>
                </c:pt>
                <c:pt idx="15">
                  <c:v>0</c:v>
                </c:pt>
                <c:pt idx="16">
                  <c:v>4.9050000000000002</c:v>
                </c:pt>
                <c:pt idx="17">
                  <c:v>0</c:v>
                </c:pt>
                <c:pt idx="18">
                  <c:v>6.867</c:v>
                </c:pt>
              </c:numCache>
            </c:numRef>
          </c:xVal>
          <c:yVal>
            <c:numRef>
              <c:f>'Molla 2'!$B$5:$T$5</c:f>
              <c:numCache>
                <c:formatCode>General</c:formatCode>
                <c:ptCount val="19"/>
                <c:pt idx="0">
                  <c:v>0</c:v>
                </c:pt>
                <c:pt idx="2">
                  <c:v>6.1204019188909053E-3</c:v>
                </c:pt>
                <c:pt idx="4">
                  <c:v>1.2273313828516486E-2</c:v>
                </c:pt>
                <c:pt idx="6">
                  <c:v>1.8277721518986823E-2</c:v>
                </c:pt>
                <c:pt idx="8">
                  <c:v>3.0427790453922576E-2</c:v>
                </c:pt>
                <c:pt idx="10">
                  <c:v>6.074386075949384E-2</c:v>
                </c:pt>
                <c:pt idx="12">
                  <c:v>9.1112278481012832E-2</c:v>
                </c:pt>
                <c:pt idx="14">
                  <c:v>0.12254212166411377</c:v>
                </c:pt>
                <c:pt idx="16">
                  <c:v>0.15408868217366761</c:v>
                </c:pt>
                <c:pt idx="18">
                  <c:v>0.21400520062096975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E-4D63-9A2C-6B41E3D4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689519"/>
        <c:axId val="1639603647"/>
      </c:scatterChart>
      <c:valAx>
        <c:axId val="163868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03647"/>
        <c:crosses val="autoZero"/>
        <c:crossBetween val="midCat"/>
      </c:valAx>
      <c:valAx>
        <c:axId val="163960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8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'Parallelo 1-2'!$B$4:$T$4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0.39240000000000003</c:v>
                </c:pt>
                <c:pt idx="3">
                  <c:v>0</c:v>
                </c:pt>
                <c:pt idx="4">
                  <c:v>0.58860000000000001</c:v>
                </c:pt>
                <c:pt idx="5">
                  <c:v>0</c:v>
                </c:pt>
                <c:pt idx="6">
                  <c:v>0.98099999999999998</c:v>
                </c:pt>
                <c:pt idx="7">
                  <c:v>0</c:v>
                </c:pt>
                <c:pt idx="8">
                  <c:v>1.962</c:v>
                </c:pt>
                <c:pt idx="9">
                  <c:v>0</c:v>
                </c:pt>
                <c:pt idx="10">
                  <c:v>2.9430000000000001</c:v>
                </c:pt>
                <c:pt idx="11">
                  <c:v>0</c:v>
                </c:pt>
                <c:pt idx="12">
                  <c:v>3.9239999999999999</c:v>
                </c:pt>
                <c:pt idx="13">
                  <c:v>0</c:v>
                </c:pt>
                <c:pt idx="14">
                  <c:v>4.9050000000000002</c:v>
                </c:pt>
                <c:pt idx="15">
                  <c:v>0</c:v>
                </c:pt>
                <c:pt idx="16">
                  <c:v>6.867</c:v>
                </c:pt>
                <c:pt idx="17">
                  <c:v>0</c:v>
                </c:pt>
                <c:pt idx="18">
                  <c:v>8.8290000000000006</c:v>
                </c:pt>
              </c:numCache>
            </c:numRef>
          </c:xVal>
          <c:yVal>
            <c:numRef>
              <c:f>'Parallelo 1-2'!$B$5:$T$5</c:f>
              <c:numCache>
                <c:formatCode>General</c:formatCode>
                <c:ptCount val="19"/>
                <c:pt idx="0">
                  <c:v>0</c:v>
                </c:pt>
                <c:pt idx="2">
                  <c:v>6.267595628415501E-3</c:v>
                </c:pt>
                <c:pt idx="4">
                  <c:v>9.2518579234972531E-3</c:v>
                </c:pt>
                <c:pt idx="6">
                  <c:v>1.5271420765027355E-2</c:v>
                </c:pt>
                <c:pt idx="8">
                  <c:v>3.047508196721338E-2</c:v>
                </c:pt>
                <c:pt idx="10">
                  <c:v>4.5701748633880657E-2</c:v>
                </c:pt>
                <c:pt idx="12">
                  <c:v>6.1176666666667545E-2</c:v>
                </c:pt>
                <c:pt idx="14">
                  <c:v>7.6692240437159331E-2</c:v>
                </c:pt>
                <c:pt idx="16">
                  <c:v>0.10743065573770533</c:v>
                </c:pt>
                <c:pt idx="18">
                  <c:v>0.13894349726775973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5-4310-8604-A2414BA9CB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6046904020718341E-2"/>
                  <c:y val="-3.40945050261898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'Parallelo 1-2'!$AF$3:$AF$5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9</c:v>
                </c:pt>
              </c:numCache>
            </c:numRef>
          </c:xVal>
          <c:yVal>
            <c:numRef>
              <c:f>'Parallelo 1-2'!$AG$3:$AG$5</c:f>
              <c:numCache>
                <c:formatCode>General</c:formatCode>
                <c:ptCount val="3"/>
                <c:pt idx="0">
                  <c:v>-2.7866608829743006E-6</c:v>
                </c:pt>
                <c:pt idx="1">
                  <c:v>1.5669954309274717E-2</c:v>
                </c:pt>
                <c:pt idx="2">
                  <c:v>0.14105188207053626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05-4310-8604-A2414BA9C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428095"/>
        <c:axId val="1391424767"/>
      </c:scatterChart>
      <c:valAx>
        <c:axId val="139142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24767"/>
        <c:crosses val="autoZero"/>
        <c:crossBetween val="midCat"/>
      </c:valAx>
      <c:valAx>
        <c:axId val="13914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2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182880</xdr:colOff>
      <xdr:row>9</xdr:row>
      <xdr:rowOff>72390</xdr:rowOff>
    </xdr:from>
    <xdr:to>
      <xdr:col>35</xdr:col>
      <xdr:colOff>487680</xdr:colOff>
      <xdr:row>24</xdr:row>
      <xdr:rowOff>72390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F1288A1-3210-48A3-9157-573BDD46E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137160</xdr:colOff>
      <xdr:row>12</xdr:row>
      <xdr:rowOff>34290</xdr:rowOff>
    </xdr:from>
    <xdr:to>
      <xdr:col>29</xdr:col>
      <xdr:colOff>441960</xdr:colOff>
      <xdr:row>27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A368815-A75E-4D13-BBD6-FE98AE076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298175</xdr:colOff>
      <xdr:row>12</xdr:row>
      <xdr:rowOff>174487</xdr:rowOff>
    </xdr:from>
    <xdr:to>
      <xdr:col>29</xdr:col>
      <xdr:colOff>298175</xdr:colOff>
      <xdr:row>27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F4A7F28-3310-4AAC-B8D0-C7D8BBAE9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0A9B-5659-4288-BFAA-16B7FDC864B7}">
  <dimension ref="A1:BJ196"/>
  <sheetViews>
    <sheetView topLeftCell="T1" workbookViewId="0">
      <selection activeCell="AB8" sqref="AB8"/>
    </sheetView>
  </sheetViews>
  <sheetFormatPr defaultRowHeight="14.4" x14ac:dyDescent="0.3"/>
  <cols>
    <col min="2" max="2" width="11" bestFit="1" customWidth="1"/>
    <col min="3" max="3" width="13.21875" customWidth="1"/>
    <col min="25" max="26" width="12" bestFit="1" customWidth="1"/>
    <col min="28" max="28" width="12" bestFit="1" customWidth="1"/>
  </cols>
  <sheetData>
    <row r="1" spans="1:62" x14ac:dyDescent="0.3">
      <c r="B1" t="s">
        <v>22</v>
      </c>
      <c r="C1">
        <v>0.3718645999999996</v>
      </c>
    </row>
    <row r="2" spans="1:62" x14ac:dyDescent="0.3">
      <c r="B2" t="s">
        <v>23</v>
      </c>
      <c r="C2">
        <v>1.1435626657378854E-4</v>
      </c>
    </row>
    <row r="3" spans="1:62" x14ac:dyDescent="0.3">
      <c r="A3" t="s">
        <v>14</v>
      </c>
      <c r="B3">
        <v>0</v>
      </c>
      <c r="E3">
        <v>20</v>
      </c>
      <c r="G3">
        <v>40</v>
      </c>
      <c r="I3">
        <v>60</v>
      </c>
      <c r="K3">
        <v>100</v>
      </c>
      <c r="M3">
        <v>200</v>
      </c>
      <c r="O3">
        <v>300</v>
      </c>
      <c r="Q3">
        <v>400</v>
      </c>
      <c r="S3">
        <v>500</v>
      </c>
      <c r="U3">
        <v>700</v>
      </c>
    </row>
    <row r="4" spans="1:62" x14ac:dyDescent="0.3">
      <c r="A4" t="s">
        <v>15</v>
      </c>
      <c r="B4">
        <f>B3*9.81/1000</f>
        <v>0</v>
      </c>
      <c r="C4">
        <f t="shared" ref="C4:U4" si="0">C3*9.81/1000</f>
        <v>0</v>
      </c>
      <c r="D4">
        <f t="shared" si="0"/>
        <v>0</v>
      </c>
      <c r="E4">
        <f t="shared" si="0"/>
        <v>0.19620000000000001</v>
      </c>
      <c r="F4">
        <f t="shared" si="0"/>
        <v>0</v>
      </c>
      <c r="G4">
        <f t="shared" si="0"/>
        <v>0.39240000000000003</v>
      </c>
      <c r="H4">
        <f t="shared" si="0"/>
        <v>0</v>
      </c>
      <c r="I4">
        <f t="shared" si="0"/>
        <v>0.58860000000000001</v>
      </c>
      <c r="J4">
        <f t="shared" si="0"/>
        <v>0</v>
      </c>
      <c r="K4">
        <f t="shared" si="0"/>
        <v>0.98099999999999998</v>
      </c>
      <c r="L4">
        <f t="shared" si="0"/>
        <v>0</v>
      </c>
      <c r="M4">
        <f t="shared" si="0"/>
        <v>1.962</v>
      </c>
      <c r="N4">
        <f t="shared" si="0"/>
        <v>0</v>
      </c>
      <c r="O4">
        <f t="shared" si="0"/>
        <v>2.9430000000000001</v>
      </c>
      <c r="P4">
        <f t="shared" si="0"/>
        <v>0</v>
      </c>
      <c r="Q4">
        <f t="shared" si="0"/>
        <v>3.9239999999999999</v>
      </c>
      <c r="R4">
        <f t="shared" si="0"/>
        <v>0</v>
      </c>
      <c r="S4">
        <f t="shared" si="0"/>
        <v>4.9050000000000002</v>
      </c>
      <c r="T4">
        <f t="shared" si="0"/>
        <v>0</v>
      </c>
      <c r="U4">
        <f t="shared" si="0"/>
        <v>6.867</v>
      </c>
      <c r="X4" t="s">
        <v>7</v>
      </c>
    </row>
    <row r="5" spans="1:62" x14ac:dyDescent="0.3">
      <c r="A5" s="2" t="s">
        <v>5</v>
      </c>
      <c r="B5">
        <f>$C$1-AVERAGE(B15:B199)</f>
        <v>0</v>
      </c>
      <c r="E5">
        <f>$C$1-AVERAGE(E15:E199)</f>
        <v>5.956533333333458E-3</v>
      </c>
      <c r="G5">
        <f>$C$1-AVERAGE(G15:G199)</f>
        <v>1.2101288741721783E-2</v>
      </c>
      <c r="I5">
        <f>$C$1-AVERAGE(I15:I199)</f>
        <v>1.8259235761588721E-2</v>
      </c>
      <c r="K5">
        <f>$C$1-AVERAGE(K15:K199)</f>
        <v>3.0402757894736732E-2</v>
      </c>
      <c r="M5">
        <f>$C$1-AVERAGE(M15:M199)</f>
        <v>6.2561138461538213E-2</v>
      </c>
      <c r="O5">
        <f>$C$1-AVERAGE(O15:O199)</f>
        <v>9.3662555801104885E-2</v>
      </c>
      <c r="Q5">
        <f>$C$1-AVERAGE(Q15:Q199)</f>
        <v>0.12558943333333292</v>
      </c>
      <c r="S5">
        <f>$C$1-AVERAGE(S15:S199)</f>
        <v>0.15564841215469555</v>
      </c>
      <c r="U5">
        <f>$C$1-AVERAGE(U15:U199)</f>
        <v>0.21728399226519277</v>
      </c>
      <c r="X5" t="s">
        <v>9</v>
      </c>
      <c r="Y5">
        <f>Y9*Y7-Y8^2</f>
        <v>7.7913202785958067E+17</v>
      </c>
      <c r="AA5" t="s">
        <v>20</v>
      </c>
      <c r="AB5">
        <f>(Y7*Y10-Y8*Y11)/Y5</f>
        <v>-1.2028288845629388E-5</v>
      </c>
    </row>
    <row r="6" spans="1:62" x14ac:dyDescent="0.3">
      <c r="A6" s="2" t="s">
        <v>24</v>
      </c>
      <c r="B6">
        <f>B5^2</f>
        <v>0</v>
      </c>
      <c r="E6">
        <f t="shared" ref="E6:U6" si="1">E5^2</f>
        <v>3.5480289351112595E-5</v>
      </c>
      <c r="G6">
        <f t="shared" si="1"/>
        <v>1.4644118921052236E-4</v>
      </c>
      <c r="I6">
        <f t="shared" si="1"/>
        <v>3.3339969059728044E-4</v>
      </c>
      <c r="K6">
        <f t="shared" si="1"/>
        <v>9.2432768760597668E-4</v>
      </c>
      <c r="M6">
        <f t="shared" si="1"/>
        <v>3.9138960456037561E-3</v>
      </c>
      <c r="O6">
        <f t="shared" si="1"/>
        <v>8.7726743591950863E-3</v>
      </c>
      <c r="Q6">
        <f t="shared" si="1"/>
        <v>1.5772705764987672E-2</v>
      </c>
      <c r="S6">
        <f t="shared" si="1"/>
        <v>2.4226428206277975E-2</v>
      </c>
      <c r="U6">
        <f t="shared" si="1"/>
        <v>4.721233329470035E-2</v>
      </c>
      <c r="AA6" t="s">
        <v>21</v>
      </c>
      <c r="AB6">
        <f>(Y9*Y11-Y8*Y10)/Y5</f>
        <v>3.176408950961257E-2</v>
      </c>
      <c r="AD6" t="s">
        <v>26</v>
      </c>
      <c r="AE6">
        <f>1/AB6</f>
        <v>31.482092370296847</v>
      </c>
    </row>
    <row r="7" spans="1:62" s="3" customFormat="1" x14ac:dyDescent="0.3">
      <c r="A7" s="3" t="s">
        <v>6</v>
      </c>
      <c r="B7" s="3">
        <f>_xlfn.STDEV.S(B15:B198)+$C$2</f>
        <v>2.2871253314757709E-4</v>
      </c>
      <c r="E7" s="3">
        <f>_xlfn.STDEV.S(E15:E198)+$C$2</f>
        <v>2.4661946089748799E-4</v>
      </c>
      <c r="G7" s="3">
        <f>_xlfn.STDEV.S(G15:G198)+$C$2</f>
        <v>2.7067952930970117E-4</v>
      </c>
      <c r="I7" s="3">
        <f>_xlfn.STDEV.S(I15:I198)+$C$2</f>
        <v>2.8597512658802088E-4</v>
      </c>
      <c r="K7" s="3">
        <f>_xlfn.STDEV.S(K15:K198)+$C$2</f>
        <v>3.2312249742198296E-4</v>
      </c>
      <c r="M7" s="3">
        <f>_xlfn.STDEV.S(M15:M198)+$C$2</f>
        <v>2.1633446895623365E-4</v>
      </c>
      <c r="O7" s="3">
        <f>_xlfn.STDEV.S(O15:O198)+$C$2</f>
        <v>6.5787844053834504E-4</v>
      </c>
      <c r="Q7" s="3">
        <f>_xlfn.STDEV.S(Q15:Q198)+$C$2</f>
        <v>3.2173812363190356E-4</v>
      </c>
      <c r="S7" s="3">
        <f>_xlfn.STDEV.S(S15:S198)+$C$2</f>
        <v>3.1284037751440168E-4</v>
      </c>
      <c r="U7" s="3">
        <f>_xlfn.STDEV.S(U15:U198)+$C$2</f>
        <v>4.482078066761657E-4</v>
      </c>
      <c r="V7" s="4"/>
      <c r="W7" s="4"/>
      <c r="X7" s="4" t="s">
        <v>10</v>
      </c>
      <c r="Y7" s="4">
        <f>SUM(B10:U10)</f>
        <v>747762858.02546382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J7" s="3">
        <v>0</v>
      </c>
    </row>
    <row r="8" spans="1:62" x14ac:dyDescent="0.3">
      <c r="A8" s="1" t="s">
        <v>8</v>
      </c>
      <c r="B8">
        <f>1/(B7)^2</f>
        <v>19117014.60488975</v>
      </c>
      <c r="E8">
        <f t="shared" ref="E8:U8" si="2">1/(E7)^2</f>
        <v>16441646.702751437</v>
      </c>
      <c r="G8">
        <f t="shared" si="2"/>
        <v>13648633.586607831</v>
      </c>
      <c r="I8">
        <f t="shared" si="2"/>
        <v>12227663.487675063</v>
      </c>
      <c r="K8">
        <f t="shared" si="2"/>
        <v>9577796.5216033515</v>
      </c>
      <c r="M8">
        <f t="shared" si="2"/>
        <v>21367246.305966359</v>
      </c>
      <c r="O8">
        <f t="shared" si="2"/>
        <v>2310514.4632327608</v>
      </c>
      <c r="Q8">
        <f t="shared" si="2"/>
        <v>9660396.4712264258</v>
      </c>
      <c r="S8">
        <f t="shared" si="2"/>
        <v>10217729.411773719</v>
      </c>
      <c r="U8">
        <f t="shared" si="2"/>
        <v>4977842.6773128668</v>
      </c>
      <c r="X8" t="s">
        <v>11</v>
      </c>
      <c r="Y8">
        <f>SUM(B9:U9)</f>
        <v>196105181.51955321</v>
      </c>
      <c r="AA8" t="s">
        <v>34</v>
      </c>
      <c r="AB8">
        <f>SQRT(Y9/Y5)</f>
        <v>3.7461064840884939E-5</v>
      </c>
    </row>
    <row r="9" spans="1:62" x14ac:dyDescent="0.3">
      <c r="A9" s="1" t="s">
        <v>12</v>
      </c>
      <c r="B9">
        <f>B4*B8</f>
        <v>0</v>
      </c>
      <c r="E9">
        <f t="shared" ref="E9:U9" si="3">E4*E8</f>
        <v>3225851.0830798321</v>
      </c>
      <c r="G9">
        <f t="shared" si="3"/>
        <v>5355723.819384913</v>
      </c>
      <c r="I9">
        <f t="shared" si="3"/>
        <v>7197202.7288455423</v>
      </c>
      <c r="K9">
        <f t="shared" si="3"/>
        <v>9395818.3876928873</v>
      </c>
      <c r="M9">
        <f t="shared" si="3"/>
        <v>41922537.252305992</v>
      </c>
      <c r="O9">
        <f t="shared" si="3"/>
        <v>6799844.0652940152</v>
      </c>
      <c r="Q9">
        <f t="shared" si="3"/>
        <v>37907395.753092498</v>
      </c>
      <c r="S9">
        <f t="shared" si="3"/>
        <v>50117962.764750093</v>
      </c>
      <c r="U9">
        <f t="shared" si="3"/>
        <v>34182845.665107459</v>
      </c>
      <c r="X9" t="s">
        <v>8</v>
      </c>
      <c r="Y9">
        <f>SUM(B8:U65)</f>
        <v>1093380423.0893693</v>
      </c>
    </row>
    <row r="10" spans="1:62" x14ac:dyDescent="0.3">
      <c r="A10" s="1" t="s">
        <v>13</v>
      </c>
      <c r="B10">
        <f>B4^2*B8</f>
        <v>0</v>
      </c>
      <c r="E10">
        <f t="shared" ref="E10:U10" si="4">E4^2*E8</f>
        <v>632911.98250026314</v>
      </c>
      <c r="G10">
        <f t="shared" si="4"/>
        <v>2101586.0267266398</v>
      </c>
      <c r="I10">
        <f t="shared" si="4"/>
        <v>4236273.5261984859</v>
      </c>
      <c r="K10">
        <f t="shared" si="4"/>
        <v>9217297.8383267224</v>
      </c>
      <c r="M10">
        <f t="shared" si="4"/>
        <v>82252018.089024365</v>
      </c>
      <c r="O10">
        <f t="shared" si="4"/>
        <v>20011941.084160287</v>
      </c>
      <c r="Q10">
        <f t="shared" si="4"/>
        <v>148748620.93513495</v>
      </c>
      <c r="S10">
        <f t="shared" si="4"/>
        <v>245828607.36109921</v>
      </c>
      <c r="U10">
        <f t="shared" si="4"/>
        <v>234733601.18229291</v>
      </c>
      <c r="X10" t="s">
        <v>18</v>
      </c>
      <c r="Y10">
        <f>SUM(B11:U11)</f>
        <v>6215951.043538834</v>
      </c>
    </row>
    <row r="11" spans="1:62" x14ac:dyDescent="0.3">
      <c r="A11" s="1" t="s">
        <v>16</v>
      </c>
      <c r="B11">
        <f>B8*B5</f>
        <v>0</v>
      </c>
      <c r="E11">
        <f t="shared" ref="E11:U11" si="5">E8*E5</f>
        <v>97935.21663983108</v>
      </c>
      <c r="G11">
        <f t="shared" si="5"/>
        <v>165166.05596150315</v>
      </c>
      <c r="I11">
        <f t="shared" si="5"/>
        <v>223267.79043482919</v>
      </c>
      <c r="K11">
        <f t="shared" si="5"/>
        <v>291191.42881135829</v>
      </c>
      <c r="M11">
        <f t="shared" si="5"/>
        <v>1336759.2546893524</v>
      </c>
      <c r="O11">
        <f t="shared" si="5"/>
        <v>216408.68984179836</v>
      </c>
      <c r="Q11">
        <f t="shared" si="5"/>
        <v>1213243.7185966559</v>
      </c>
      <c r="S11">
        <f t="shared" si="5"/>
        <v>1590373.3587689106</v>
      </c>
      <c r="U11">
        <f t="shared" si="5"/>
        <v>1081605.5297945954</v>
      </c>
      <c r="X11" t="s">
        <v>19</v>
      </c>
      <c r="Y11">
        <f>SUM(B12:U12)</f>
        <v>23749647.544517107</v>
      </c>
    </row>
    <row r="12" spans="1:62" x14ac:dyDescent="0.3">
      <c r="A12" s="1" t="s">
        <v>17</v>
      </c>
      <c r="B12">
        <f>B8*B5*B4</f>
        <v>0</v>
      </c>
      <c r="E12">
        <f t="shared" ref="E12:U12" si="6">E8*E5*E4</f>
        <v>19214.88950473486</v>
      </c>
      <c r="G12">
        <f t="shared" si="6"/>
        <v>64811.160359293841</v>
      </c>
      <c r="I12">
        <f t="shared" si="6"/>
        <v>131415.42144994048</v>
      </c>
      <c r="K12">
        <f t="shared" si="6"/>
        <v>285658.79166394245</v>
      </c>
      <c r="M12">
        <f t="shared" si="6"/>
        <v>2622721.6577005093</v>
      </c>
      <c r="O12">
        <f t="shared" si="6"/>
        <v>636890.77420441259</v>
      </c>
      <c r="Q12">
        <f t="shared" si="6"/>
        <v>4760768.3517732779</v>
      </c>
      <c r="S12">
        <f t="shared" si="6"/>
        <v>7800781.3247615071</v>
      </c>
      <c r="U12">
        <f t="shared" si="6"/>
        <v>7427385.1730994871</v>
      </c>
    </row>
    <row r="13" spans="1:62" x14ac:dyDescent="0.3">
      <c r="A13" s="1"/>
    </row>
    <row r="14" spans="1:62" x14ac:dyDescent="0.3">
      <c r="A14" t="s">
        <v>4</v>
      </c>
      <c r="B14" t="s">
        <v>2</v>
      </c>
      <c r="C14" t="s">
        <v>1</v>
      </c>
      <c r="E14" t="s">
        <v>2</v>
      </c>
      <c r="G14" t="s">
        <v>2</v>
      </c>
      <c r="I14" t="s">
        <v>2</v>
      </c>
      <c r="K14" t="s">
        <v>2</v>
      </c>
      <c r="M14" t="s">
        <v>2</v>
      </c>
      <c r="O14" t="s">
        <v>2</v>
      </c>
      <c r="Q14" t="s">
        <v>2</v>
      </c>
      <c r="S14" t="s">
        <v>2</v>
      </c>
      <c r="U14" t="s">
        <v>2</v>
      </c>
    </row>
    <row r="15" spans="1:62" x14ac:dyDescent="0.3">
      <c r="B15">
        <v>0.37152000000000002</v>
      </c>
      <c r="C15">
        <v>1.65</v>
      </c>
      <c r="E15">
        <v>0.36568000000000001</v>
      </c>
      <c r="G15">
        <v>0.35965000000000003</v>
      </c>
      <c r="I15">
        <v>0.35328999999999999</v>
      </c>
      <c r="K15">
        <v>0.34142</v>
      </c>
      <c r="M15">
        <v>0.30925999999999998</v>
      </c>
      <c r="O15">
        <v>0.27811999999999998</v>
      </c>
      <c r="Q15">
        <v>0.24631</v>
      </c>
      <c r="S15">
        <v>0.21637999999999999</v>
      </c>
      <c r="U15">
        <v>0.15445</v>
      </c>
    </row>
    <row r="16" spans="1:62" x14ac:dyDescent="0.3">
      <c r="B16">
        <v>0.37169000000000002</v>
      </c>
      <c r="C16">
        <v>1.7</v>
      </c>
      <c r="E16">
        <v>0.36549999999999999</v>
      </c>
      <c r="G16">
        <v>0.35965000000000003</v>
      </c>
      <c r="I16">
        <v>0.35328999999999999</v>
      </c>
      <c r="K16">
        <v>0.34125</v>
      </c>
      <c r="M16">
        <v>0.30925999999999998</v>
      </c>
      <c r="O16">
        <v>0.27812999999999999</v>
      </c>
      <c r="Q16">
        <v>0.24612999999999999</v>
      </c>
      <c r="S16">
        <v>0.21621000000000001</v>
      </c>
      <c r="U16">
        <v>0.15462000000000001</v>
      </c>
    </row>
    <row r="17" spans="2:21" x14ac:dyDescent="0.3">
      <c r="B17">
        <v>0.37169000000000002</v>
      </c>
      <c r="C17">
        <v>1.75</v>
      </c>
      <c r="E17">
        <v>0.36549999999999999</v>
      </c>
      <c r="G17">
        <v>0.35965000000000003</v>
      </c>
      <c r="I17">
        <v>0.35328999999999999</v>
      </c>
      <c r="K17">
        <v>0.34107999999999999</v>
      </c>
      <c r="M17">
        <v>0.30925999999999998</v>
      </c>
      <c r="O17">
        <v>0.27794999999999997</v>
      </c>
      <c r="Q17">
        <v>0.24612999999999999</v>
      </c>
      <c r="S17">
        <v>0.21603</v>
      </c>
      <c r="U17">
        <v>0.15497</v>
      </c>
    </row>
    <row r="18" spans="2:21" x14ac:dyDescent="0.3">
      <c r="B18">
        <v>0.37169000000000002</v>
      </c>
      <c r="C18">
        <v>1.8</v>
      </c>
      <c r="E18">
        <v>0.36567</v>
      </c>
      <c r="G18">
        <v>0.35965999999999998</v>
      </c>
      <c r="I18">
        <v>0.35327999999999998</v>
      </c>
      <c r="K18">
        <v>0.34089999999999998</v>
      </c>
      <c r="M18">
        <v>0.30908000000000002</v>
      </c>
      <c r="O18">
        <v>0.27778000000000003</v>
      </c>
      <c r="Q18">
        <v>0.24596000000000001</v>
      </c>
      <c r="S18">
        <v>0.21603</v>
      </c>
      <c r="U18">
        <v>0.15479999999999999</v>
      </c>
    </row>
    <row r="19" spans="2:21" x14ac:dyDescent="0.3">
      <c r="B19">
        <v>0.37169999999999997</v>
      </c>
      <c r="C19">
        <v>1.85</v>
      </c>
      <c r="E19">
        <v>0.36567</v>
      </c>
      <c r="G19">
        <v>0.35948000000000002</v>
      </c>
      <c r="I19">
        <v>0.35346</v>
      </c>
      <c r="K19">
        <v>0.34089999999999998</v>
      </c>
      <c r="M19">
        <v>0.30925999999999998</v>
      </c>
      <c r="O19">
        <v>0.27761000000000002</v>
      </c>
      <c r="Q19">
        <v>0.24596000000000001</v>
      </c>
      <c r="S19">
        <v>0.21603</v>
      </c>
      <c r="U19">
        <v>0.15462999999999999</v>
      </c>
    </row>
    <row r="20" spans="2:21" x14ac:dyDescent="0.3">
      <c r="B20">
        <v>0.37152000000000002</v>
      </c>
      <c r="C20">
        <v>1.9</v>
      </c>
      <c r="E20">
        <v>0.36584</v>
      </c>
      <c r="G20">
        <v>0.35948000000000002</v>
      </c>
      <c r="I20">
        <v>0.35346</v>
      </c>
      <c r="K20">
        <v>0.34106999999999998</v>
      </c>
      <c r="M20">
        <v>0.30925999999999998</v>
      </c>
      <c r="O20">
        <v>0.27744000000000002</v>
      </c>
      <c r="Q20">
        <v>0.24596000000000001</v>
      </c>
      <c r="S20">
        <v>0.21603</v>
      </c>
      <c r="U20">
        <v>0.15462999999999999</v>
      </c>
    </row>
    <row r="21" spans="2:21" x14ac:dyDescent="0.3">
      <c r="B21">
        <v>0.37152000000000002</v>
      </c>
      <c r="C21">
        <v>1.95</v>
      </c>
      <c r="E21">
        <v>0.36584</v>
      </c>
      <c r="G21">
        <v>0.35948000000000002</v>
      </c>
      <c r="I21">
        <v>0.35346</v>
      </c>
      <c r="K21">
        <v>0.34123999999999999</v>
      </c>
      <c r="M21">
        <v>0.30925999999999998</v>
      </c>
      <c r="O21">
        <v>0.27726000000000001</v>
      </c>
      <c r="Q21">
        <v>0.24596000000000001</v>
      </c>
      <c r="S21">
        <v>0.21603</v>
      </c>
      <c r="U21">
        <v>0.15462999999999999</v>
      </c>
    </row>
    <row r="22" spans="2:21" x14ac:dyDescent="0.3">
      <c r="B22">
        <v>0.37169000000000002</v>
      </c>
      <c r="C22">
        <v>2</v>
      </c>
      <c r="E22">
        <v>0.36585000000000001</v>
      </c>
      <c r="G22">
        <v>0.35948000000000002</v>
      </c>
      <c r="I22">
        <v>0.35346</v>
      </c>
      <c r="K22">
        <v>0.34142</v>
      </c>
      <c r="M22">
        <v>0.30925999999999998</v>
      </c>
      <c r="O22">
        <v>0.27726000000000001</v>
      </c>
      <c r="Q22">
        <v>0.24612999999999999</v>
      </c>
      <c r="S22">
        <v>0.2162</v>
      </c>
      <c r="U22">
        <v>0.15445</v>
      </c>
    </row>
    <row r="23" spans="2:21" x14ac:dyDescent="0.3">
      <c r="B23">
        <v>0.37169000000000002</v>
      </c>
      <c r="C23">
        <v>2.0499999999999998</v>
      </c>
      <c r="E23">
        <v>0.36567</v>
      </c>
      <c r="G23">
        <v>0.35965000000000003</v>
      </c>
      <c r="I23">
        <v>0.35346</v>
      </c>
      <c r="K23">
        <v>0.34159</v>
      </c>
      <c r="M23">
        <v>0.30925999999999998</v>
      </c>
      <c r="O23">
        <v>0.27726000000000001</v>
      </c>
      <c r="Q23">
        <v>0.24612999999999999</v>
      </c>
      <c r="S23">
        <v>0.2162</v>
      </c>
      <c r="U23">
        <v>0.15462999999999999</v>
      </c>
    </row>
    <row r="24" spans="2:21" x14ac:dyDescent="0.3">
      <c r="B24">
        <v>0.37169000000000002</v>
      </c>
      <c r="C24">
        <v>2.1</v>
      </c>
      <c r="E24">
        <v>0.36567</v>
      </c>
      <c r="G24">
        <v>0.35965000000000003</v>
      </c>
      <c r="I24">
        <v>0.35328999999999999</v>
      </c>
      <c r="K24">
        <v>0.34159</v>
      </c>
      <c r="M24">
        <v>0.30925999999999998</v>
      </c>
      <c r="O24">
        <v>0.27726000000000001</v>
      </c>
      <c r="Q24">
        <v>0.24629999999999999</v>
      </c>
      <c r="S24">
        <v>0.21637999999999999</v>
      </c>
      <c r="U24">
        <v>0.15462999999999999</v>
      </c>
    </row>
    <row r="25" spans="2:21" x14ac:dyDescent="0.3">
      <c r="B25">
        <v>0.37169000000000002</v>
      </c>
      <c r="C25">
        <v>2.15</v>
      </c>
      <c r="E25">
        <v>0.36567</v>
      </c>
      <c r="G25">
        <v>0.35965000000000003</v>
      </c>
      <c r="I25">
        <v>0.35327999999999998</v>
      </c>
      <c r="K25">
        <v>0.34160000000000001</v>
      </c>
      <c r="M25">
        <v>0.30925999999999998</v>
      </c>
      <c r="O25">
        <v>0.27743000000000001</v>
      </c>
      <c r="Q25">
        <v>0.24648</v>
      </c>
      <c r="S25">
        <v>0.21637999999999999</v>
      </c>
      <c r="U25">
        <v>0.15462999999999999</v>
      </c>
    </row>
    <row r="26" spans="2:21" x14ac:dyDescent="0.3">
      <c r="B26">
        <v>0.37169000000000002</v>
      </c>
      <c r="C26">
        <v>2.2000000000000002</v>
      </c>
      <c r="E26">
        <v>0.36567</v>
      </c>
      <c r="G26">
        <v>0.35965999999999998</v>
      </c>
      <c r="I26">
        <v>0.35346</v>
      </c>
      <c r="K26">
        <v>0.34142</v>
      </c>
      <c r="M26">
        <v>0.30925999999999998</v>
      </c>
      <c r="O26">
        <v>0.27760000000000001</v>
      </c>
      <c r="Q26">
        <v>0.24648</v>
      </c>
      <c r="S26">
        <v>0.21637999999999999</v>
      </c>
      <c r="U26">
        <v>0.15479999999999999</v>
      </c>
    </row>
    <row r="27" spans="2:21" x14ac:dyDescent="0.3">
      <c r="B27">
        <v>0.37169000000000002</v>
      </c>
      <c r="C27">
        <v>2.25</v>
      </c>
      <c r="E27">
        <v>0.36584</v>
      </c>
      <c r="G27">
        <v>0.35948000000000002</v>
      </c>
      <c r="I27">
        <v>0.35346</v>
      </c>
      <c r="K27">
        <v>0.34125</v>
      </c>
      <c r="M27">
        <v>0.30925999999999998</v>
      </c>
      <c r="O27">
        <v>0.27794999999999997</v>
      </c>
      <c r="Q27">
        <v>0.24648</v>
      </c>
      <c r="S27">
        <v>0.21637999999999999</v>
      </c>
      <c r="U27">
        <v>0.15479999999999999</v>
      </c>
    </row>
    <row r="28" spans="2:21" x14ac:dyDescent="0.3">
      <c r="B28">
        <v>0.37169000000000002</v>
      </c>
      <c r="C28">
        <v>2.2999999999999998</v>
      </c>
      <c r="E28">
        <v>0.36602000000000001</v>
      </c>
      <c r="G28">
        <v>0.35948000000000002</v>
      </c>
      <c r="I28">
        <v>0.35363</v>
      </c>
      <c r="K28">
        <v>0.34125</v>
      </c>
      <c r="M28">
        <v>0.30925999999999998</v>
      </c>
      <c r="O28">
        <v>0.27811999999999998</v>
      </c>
      <c r="Q28">
        <v>0.24648</v>
      </c>
      <c r="S28">
        <v>0.21637999999999999</v>
      </c>
      <c r="U28">
        <v>0.15497</v>
      </c>
    </row>
    <row r="29" spans="2:21" x14ac:dyDescent="0.3">
      <c r="B29">
        <v>0.37169000000000002</v>
      </c>
      <c r="C29">
        <v>2.35</v>
      </c>
      <c r="E29">
        <v>0.36602000000000001</v>
      </c>
      <c r="G29">
        <v>0.35948000000000002</v>
      </c>
      <c r="I29">
        <v>0.35364000000000001</v>
      </c>
      <c r="K29">
        <v>0.34123999999999999</v>
      </c>
      <c r="M29">
        <v>0.30925999999999998</v>
      </c>
      <c r="O29">
        <v>0.27828999999999998</v>
      </c>
      <c r="Q29">
        <v>0.24629999999999999</v>
      </c>
      <c r="S29">
        <v>0.21637999999999999</v>
      </c>
      <c r="U29">
        <v>0.15479999999999999</v>
      </c>
    </row>
    <row r="30" spans="2:21" x14ac:dyDescent="0.3">
      <c r="B30">
        <v>0.37186000000000002</v>
      </c>
      <c r="C30">
        <v>2.4</v>
      </c>
      <c r="E30">
        <v>0.36585000000000001</v>
      </c>
      <c r="G30">
        <v>0.35965000000000003</v>
      </c>
      <c r="I30">
        <v>0.35346</v>
      </c>
      <c r="K30">
        <v>0.34142</v>
      </c>
      <c r="M30">
        <v>0.30925999999999998</v>
      </c>
      <c r="O30">
        <v>0.27847</v>
      </c>
      <c r="Q30">
        <v>0.24631</v>
      </c>
      <c r="S30">
        <v>0.21637999999999999</v>
      </c>
      <c r="U30">
        <v>0.15462999999999999</v>
      </c>
    </row>
    <row r="31" spans="2:21" x14ac:dyDescent="0.3">
      <c r="B31">
        <v>0.37186999999999998</v>
      </c>
      <c r="C31">
        <v>2.4500000000000002</v>
      </c>
      <c r="E31">
        <v>0.36567</v>
      </c>
      <c r="G31">
        <v>0.35965000000000003</v>
      </c>
      <c r="I31">
        <v>0.35347000000000001</v>
      </c>
      <c r="K31">
        <v>0.34159</v>
      </c>
      <c r="M31">
        <v>0.30925999999999998</v>
      </c>
      <c r="O31">
        <v>0.27829999999999999</v>
      </c>
      <c r="Q31">
        <v>0.24612999999999999</v>
      </c>
      <c r="S31">
        <v>0.21637999999999999</v>
      </c>
      <c r="U31">
        <v>0.15445999999999999</v>
      </c>
    </row>
    <row r="32" spans="2:21" x14ac:dyDescent="0.3">
      <c r="B32">
        <v>0.37169000000000002</v>
      </c>
      <c r="C32">
        <v>2.5</v>
      </c>
      <c r="E32">
        <v>0.36567</v>
      </c>
      <c r="G32">
        <v>0.35981999999999997</v>
      </c>
      <c r="I32">
        <v>0.35311999999999999</v>
      </c>
      <c r="K32">
        <v>0.34176000000000001</v>
      </c>
      <c r="M32">
        <v>0.30925999999999998</v>
      </c>
      <c r="O32">
        <v>0.27812999999999999</v>
      </c>
      <c r="Q32">
        <v>0.24612999999999999</v>
      </c>
      <c r="S32">
        <v>0.21637999999999999</v>
      </c>
      <c r="U32">
        <v>0.15445999999999999</v>
      </c>
    </row>
    <row r="33" spans="2:21" x14ac:dyDescent="0.3">
      <c r="B33">
        <v>0.37169000000000002</v>
      </c>
      <c r="C33">
        <v>2.5499999999999998</v>
      </c>
      <c r="E33">
        <v>0.36584</v>
      </c>
      <c r="G33">
        <v>0.35982999999999998</v>
      </c>
      <c r="I33">
        <v>0.35311999999999999</v>
      </c>
      <c r="K33">
        <v>0.34176000000000001</v>
      </c>
      <c r="M33">
        <v>0.30925999999999998</v>
      </c>
      <c r="O33">
        <v>0.27778000000000003</v>
      </c>
      <c r="Q33">
        <v>0.24596000000000001</v>
      </c>
      <c r="S33">
        <v>0.21637999999999999</v>
      </c>
      <c r="U33">
        <v>0.15445</v>
      </c>
    </row>
    <row r="34" spans="2:21" x14ac:dyDescent="0.3">
      <c r="B34">
        <v>0.37169000000000002</v>
      </c>
      <c r="C34">
        <v>2.6</v>
      </c>
      <c r="E34">
        <v>0.36584</v>
      </c>
      <c r="G34">
        <v>0.35965999999999998</v>
      </c>
      <c r="I34">
        <v>0.35310999999999998</v>
      </c>
      <c r="K34">
        <v>0.34177000000000002</v>
      </c>
      <c r="M34">
        <v>0.30925999999999998</v>
      </c>
      <c r="O34">
        <v>0.27761000000000002</v>
      </c>
      <c r="Q34">
        <v>0.24596000000000001</v>
      </c>
      <c r="S34">
        <v>0.2162</v>
      </c>
      <c r="U34">
        <v>0.15462999999999999</v>
      </c>
    </row>
    <row r="35" spans="2:21" x14ac:dyDescent="0.3">
      <c r="B35">
        <v>0.37169000000000002</v>
      </c>
      <c r="C35">
        <v>2.65</v>
      </c>
      <c r="E35">
        <v>0.36602000000000001</v>
      </c>
      <c r="G35">
        <v>0.35948000000000002</v>
      </c>
      <c r="I35">
        <v>0.35346</v>
      </c>
      <c r="K35">
        <v>0.34160000000000001</v>
      </c>
      <c r="M35">
        <v>0.30925999999999998</v>
      </c>
      <c r="O35">
        <v>0.27744000000000002</v>
      </c>
      <c r="Q35">
        <v>0.24596000000000001</v>
      </c>
      <c r="S35">
        <v>0.21621000000000001</v>
      </c>
      <c r="U35">
        <v>0.15479999999999999</v>
      </c>
    </row>
    <row r="36" spans="2:21" x14ac:dyDescent="0.3">
      <c r="B36">
        <v>0.37186000000000002</v>
      </c>
      <c r="C36">
        <v>2.7</v>
      </c>
      <c r="E36">
        <v>0.36602000000000001</v>
      </c>
      <c r="G36">
        <v>0.35948000000000002</v>
      </c>
      <c r="I36">
        <v>0.35346</v>
      </c>
      <c r="K36">
        <v>0.34142</v>
      </c>
      <c r="M36">
        <v>0.30908000000000002</v>
      </c>
      <c r="O36">
        <v>0.27744000000000002</v>
      </c>
      <c r="Q36">
        <v>0.24596000000000001</v>
      </c>
      <c r="S36">
        <v>0.21603</v>
      </c>
      <c r="U36">
        <v>0.15497</v>
      </c>
    </row>
    <row r="37" spans="2:21" x14ac:dyDescent="0.3">
      <c r="B37">
        <v>0.37186000000000002</v>
      </c>
      <c r="C37">
        <v>2.75</v>
      </c>
      <c r="E37">
        <v>0.36602000000000001</v>
      </c>
      <c r="G37">
        <v>0.35948000000000002</v>
      </c>
      <c r="I37">
        <v>0.35363</v>
      </c>
      <c r="K37">
        <v>0.34125</v>
      </c>
      <c r="M37">
        <v>0.30908000000000002</v>
      </c>
      <c r="O37">
        <v>0.27744000000000002</v>
      </c>
      <c r="Q37">
        <v>0.24612999999999999</v>
      </c>
      <c r="S37">
        <v>0.21603</v>
      </c>
      <c r="U37">
        <v>0.15479999999999999</v>
      </c>
    </row>
    <row r="38" spans="2:21" x14ac:dyDescent="0.3">
      <c r="B38">
        <v>0.37186000000000002</v>
      </c>
      <c r="C38">
        <v>2.8</v>
      </c>
      <c r="E38">
        <v>0.36584</v>
      </c>
      <c r="G38">
        <v>0.35948000000000002</v>
      </c>
      <c r="I38">
        <v>0.35364000000000001</v>
      </c>
      <c r="K38">
        <v>0.34125</v>
      </c>
      <c r="M38">
        <v>0.30925999999999998</v>
      </c>
      <c r="O38">
        <v>0.27743000000000001</v>
      </c>
      <c r="Q38">
        <v>0.24612999999999999</v>
      </c>
      <c r="S38">
        <v>0.21603</v>
      </c>
      <c r="U38">
        <v>0.15479999999999999</v>
      </c>
    </row>
    <row r="39" spans="2:21" x14ac:dyDescent="0.3">
      <c r="B39">
        <v>0.37186000000000002</v>
      </c>
      <c r="C39">
        <v>2.85</v>
      </c>
      <c r="E39">
        <v>0.36584</v>
      </c>
      <c r="G39">
        <v>0.35965000000000003</v>
      </c>
      <c r="I39">
        <v>0.35346</v>
      </c>
      <c r="K39">
        <v>0.34123999999999999</v>
      </c>
      <c r="M39">
        <v>0.30925999999999998</v>
      </c>
      <c r="O39">
        <v>0.27761000000000002</v>
      </c>
      <c r="Q39">
        <v>0.24629999999999999</v>
      </c>
      <c r="S39">
        <v>0.2162</v>
      </c>
      <c r="U39">
        <v>0.15462999999999999</v>
      </c>
    </row>
    <row r="40" spans="2:21" x14ac:dyDescent="0.3">
      <c r="B40">
        <v>0.37186000000000002</v>
      </c>
      <c r="C40">
        <v>2.9</v>
      </c>
      <c r="E40">
        <v>0.36584</v>
      </c>
      <c r="G40">
        <v>0.35965000000000003</v>
      </c>
      <c r="I40">
        <v>0.35346</v>
      </c>
      <c r="K40">
        <v>0.34142</v>
      </c>
      <c r="M40">
        <v>0.30925999999999998</v>
      </c>
      <c r="O40">
        <v>0.27777000000000002</v>
      </c>
      <c r="Q40">
        <v>0.24629999999999999</v>
      </c>
      <c r="S40">
        <v>0.21637999999999999</v>
      </c>
      <c r="U40">
        <v>0.15462999999999999</v>
      </c>
    </row>
    <row r="41" spans="2:21" x14ac:dyDescent="0.3">
      <c r="B41">
        <v>0.37186000000000002</v>
      </c>
      <c r="C41">
        <v>2.95</v>
      </c>
      <c r="E41">
        <v>0.36584</v>
      </c>
      <c r="G41">
        <v>0.35965000000000003</v>
      </c>
      <c r="I41">
        <v>0.35328999999999999</v>
      </c>
      <c r="K41">
        <v>0.34159</v>
      </c>
      <c r="M41">
        <v>0.30908000000000002</v>
      </c>
      <c r="O41">
        <v>0.27811999999999998</v>
      </c>
      <c r="Q41">
        <v>0.24629999999999999</v>
      </c>
      <c r="S41">
        <v>0.21637999999999999</v>
      </c>
      <c r="U41">
        <v>0.15462999999999999</v>
      </c>
    </row>
    <row r="42" spans="2:21" x14ac:dyDescent="0.3">
      <c r="B42">
        <v>0.37186000000000002</v>
      </c>
      <c r="C42">
        <v>3</v>
      </c>
      <c r="E42">
        <v>0.36602000000000001</v>
      </c>
      <c r="G42">
        <v>0.35965999999999998</v>
      </c>
      <c r="I42">
        <v>0.35328999999999999</v>
      </c>
      <c r="K42">
        <v>0.34176000000000001</v>
      </c>
      <c r="M42">
        <v>0.30908000000000002</v>
      </c>
      <c r="O42">
        <v>0.27847</v>
      </c>
      <c r="Q42">
        <v>0.24648</v>
      </c>
      <c r="S42">
        <v>0.21637999999999999</v>
      </c>
      <c r="U42">
        <v>0.15462999999999999</v>
      </c>
    </row>
    <row r="43" spans="2:21" x14ac:dyDescent="0.3">
      <c r="B43">
        <v>0.37186000000000002</v>
      </c>
      <c r="C43">
        <v>3.05</v>
      </c>
      <c r="E43">
        <v>0.36602000000000001</v>
      </c>
      <c r="G43">
        <v>0.35948000000000002</v>
      </c>
      <c r="I43">
        <v>0.35327999999999998</v>
      </c>
      <c r="K43">
        <v>0.34177000000000002</v>
      </c>
      <c r="M43">
        <v>0.30925999999999998</v>
      </c>
      <c r="O43">
        <v>0.27864</v>
      </c>
      <c r="Q43">
        <v>0.24648</v>
      </c>
      <c r="S43">
        <v>0.21637999999999999</v>
      </c>
      <c r="U43">
        <v>0.15462999999999999</v>
      </c>
    </row>
    <row r="44" spans="2:21" x14ac:dyDescent="0.3">
      <c r="B44">
        <v>0.37186000000000002</v>
      </c>
      <c r="C44">
        <v>3.1</v>
      </c>
      <c r="E44">
        <v>0.36602000000000001</v>
      </c>
      <c r="G44">
        <v>0.35948000000000002</v>
      </c>
      <c r="I44">
        <v>0.35346</v>
      </c>
      <c r="K44">
        <v>0.34159</v>
      </c>
      <c r="M44">
        <v>0.30925999999999998</v>
      </c>
      <c r="O44">
        <v>0.27864</v>
      </c>
      <c r="Q44">
        <v>0.24648</v>
      </c>
      <c r="S44">
        <v>0.21637999999999999</v>
      </c>
      <c r="U44">
        <v>0.15462999999999999</v>
      </c>
    </row>
    <row r="45" spans="2:21" x14ac:dyDescent="0.3">
      <c r="B45">
        <v>0.37186000000000002</v>
      </c>
      <c r="C45">
        <v>3.15</v>
      </c>
      <c r="E45">
        <v>0.36584</v>
      </c>
      <c r="G45">
        <v>0.35948000000000002</v>
      </c>
      <c r="I45">
        <v>0.35346</v>
      </c>
      <c r="K45">
        <v>0.34160000000000001</v>
      </c>
      <c r="M45">
        <v>0.30925999999999998</v>
      </c>
      <c r="O45">
        <v>0.27847</v>
      </c>
      <c r="Q45">
        <v>0.24629999999999999</v>
      </c>
      <c r="S45">
        <v>0.21637999999999999</v>
      </c>
      <c r="U45">
        <v>0.15479999999999999</v>
      </c>
    </row>
    <row r="46" spans="2:21" x14ac:dyDescent="0.3">
      <c r="B46">
        <v>0.37186000000000002</v>
      </c>
      <c r="C46">
        <v>3.2</v>
      </c>
      <c r="E46">
        <v>0.36584</v>
      </c>
      <c r="G46">
        <v>0.35965000000000003</v>
      </c>
      <c r="I46">
        <v>0.35363</v>
      </c>
      <c r="K46">
        <v>0.34142</v>
      </c>
      <c r="M46">
        <v>0.30925999999999998</v>
      </c>
      <c r="O46">
        <v>0.27829999999999999</v>
      </c>
      <c r="Q46">
        <v>0.24631</v>
      </c>
      <c r="S46">
        <v>0.21637999999999999</v>
      </c>
      <c r="U46">
        <v>0.15479999999999999</v>
      </c>
    </row>
    <row r="47" spans="2:21" x14ac:dyDescent="0.3">
      <c r="B47">
        <v>0.37186000000000002</v>
      </c>
      <c r="C47">
        <v>3.25</v>
      </c>
      <c r="E47">
        <v>0.36584</v>
      </c>
      <c r="G47">
        <v>0.35965000000000003</v>
      </c>
      <c r="I47">
        <v>0.35364000000000001</v>
      </c>
      <c r="K47">
        <v>0.34125</v>
      </c>
      <c r="M47">
        <v>0.30925999999999998</v>
      </c>
      <c r="O47">
        <v>0.27794999999999997</v>
      </c>
      <c r="Q47">
        <v>0.24612999999999999</v>
      </c>
      <c r="S47">
        <v>0.21637999999999999</v>
      </c>
      <c r="U47">
        <v>0.15497</v>
      </c>
    </row>
    <row r="48" spans="2:21" x14ac:dyDescent="0.3">
      <c r="B48">
        <v>0.37186000000000002</v>
      </c>
      <c r="C48">
        <v>3.3</v>
      </c>
      <c r="E48">
        <v>0.36584</v>
      </c>
      <c r="G48">
        <v>0.35981999999999997</v>
      </c>
      <c r="I48">
        <v>0.35346</v>
      </c>
      <c r="K48">
        <v>0.34125</v>
      </c>
      <c r="M48">
        <v>0.30925999999999998</v>
      </c>
      <c r="O48">
        <v>0.27778000000000003</v>
      </c>
      <c r="Q48">
        <v>0.24612999999999999</v>
      </c>
      <c r="S48">
        <v>0.21637999999999999</v>
      </c>
      <c r="U48">
        <v>0.15479999999999999</v>
      </c>
    </row>
    <row r="49" spans="2:21" x14ac:dyDescent="0.3">
      <c r="B49">
        <v>0.37186000000000002</v>
      </c>
      <c r="C49">
        <v>3.35</v>
      </c>
      <c r="E49">
        <v>0.36584</v>
      </c>
      <c r="G49">
        <v>0.35982999999999998</v>
      </c>
      <c r="I49">
        <v>0.35346</v>
      </c>
      <c r="K49">
        <v>0.34123999999999999</v>
      </c>
      <c r="M49">
        <v>0.30925999999999998</v>
      </c>
      <c r="O49">
        <v>0.27761000000000002</v>
      </c>
      <c r="Q49">
        <v>0.24612999999999999</v>
      </c>
      <c r="S49">
        <v>0.21637999999999999</v>
      </c>
      <c r="U49">
        <v>0.15445999999999999</v>
      </c>
    </row>
    <row r="50" spans="2:21" x14ac:dyDescent="0.3">
      <c r="B50">
        <v>0.37186000000000002</v>
      </c>
      <c r="C50">
        <v>3.4</v>
      </c>
      <c r="E50">
        <v>0.36602000000000001</v>
      </c>
      <c r="G50">
        <v>0.35965000000000003</v>
      </c>
      <c r="I50">
        <v>0.35328999999999999</v>
      </c>
      <c r="K50">
        <v>0.34142</v>
      </c>
      <c r="M50">
        <v>0.30925999999999998</v>
      </c>
      <c r="O50">
        <v>0.27761000000000002</v>
      </c>
      <c r="Q50">
        <v>0.24596000000000001</v>
      </c>
      <c r="S50">
        <v>0.21637999999999999</v>
      </c>
      <c r="U50">
        <v>0.15429000000000001</v>
      </c>
    </row>
    <row r="51" spans="2:21" x14ac:dyDescent="0.3">
      <c r="B51">
        <v>0.37186000000000002</v>
      </c>
      <c r="C51">
        <v>3.45</v>
      </c>
      <c r="E51">
        <v>0.36602000000000001</v>
      </c>
      <c r="G51">
        <v>0.35965999999999998</v>
      </c>
      <c r="I51">
        <v>0.35327999999999998</v>
      </c>
      <c r="K51">
        <v>0.34159</v>
      </c>
      <c r="M51">
        <v>0.30925999999999998</v>
      </c>
      <c r="O51">
        <v>0.27761000000000002</v>
      </c>
      <c r="Q51">
        <v>0.24596000000000001</v>
      </c>
      <c r="S51">
        <v>0.21637999999999999</v>
      </c>
      <c r="U51">
        <v>0.15411</v>
      </c>
    </row>
    <row r="52" spans="2:21" x14ac:dyDescent="0.3">
      <c r="B52">
        <v>0.37186000000000002</v>
      </c>
      <c r="C52">
        <v>3.5</v>
      </c>
      <c r="E52">
        <v>0.36584</v>
      </c>
      <c r="G52">
        <v>0.35948000000000002</v>
      </c>
      <c r="I52">
        <v>0.35346</v>
      </c>
      <c r="K52">
        <v>0.34176000000000001</v>
      </c>
      <c r="M52">
        <v>0.30925999999999998</v>
      </c>
      <c r="O52">
        <v>0.27761000000000002</v>
      </c>
      <c r="Q52">
        <v>0.24612999999999999</v>
      </c>
      <c r="S52">
        <v>0.21637999999999999</v>
      </c>
      <c r="U52">
        <v>0.15428</v>
      </c>
    </row>
    <row r="53" spans="2:21" x14ac:dyDescent="0.3">
      <c r="B53">
        <v>0.37186000000000002</v>
      </c>
      <c r="C53">
        <v>3.55</v>
      </c>
      <c r="E53">
        <v>0.36585000000000001</v>
      </c>
      <c r="G53">
        <v>0.35948000000000002</v>
      </c>
      <c r="I53">
        <v>0.35346</v>
      </c>
      <c r="K53">
        <v>0.34177000000000002</v>
      </c>
      <c r="M53">
        <v>0.30925000000000002</v>
      </c>
      <c r="O53">
        <v>0.27778000000000003</v>
      </c>
      <c r="Q53">
        <v>0.24612999999999999</v>
      </c>
      <c r="S53">
        <v>0.21637999999999999</v>
      </c>
      <c r="U53">
        <v>0.15445</v>
      </c>
    </row>
    <row r="54" spans="2:21" x14ac:dyDescent="0.3">
      <c r="B54">
        <v>0.37186000000000002</v>
      </c>
      <c r="C54">
        <v>3.6</v>
      </c>
      <c r="E54">
        <v>0.36567</v>
      </c>
      <c r="G54">
        <v>0.35965000000000003</v>
      </c>
      <c r="I54">
        <v>0.35363</v>
      </c>
      <c r="K54">
        <v>0.34159</v>
      </c>
      <c r="M54">
        <v>0.30942999999999998</v>
      </c>
      <c r="O54">
        <v>0.27794999999999997</v>
      </c>
      <c r="Q54">
        <v>0.24612999999999999</v>
      </c>
      <c r="S54">
        <v>0.21637999999999999</v>
      </c>
      <c r="U54">
        <v>0.15462999999999999</v>
      </c>
    </row>
    <row r="55" spans="2:21" x14ac:dyDescent="0.3">
      <c r="B55">
        <v>0.37186000000000002</v>
      </c>
      <c r="C55">
        <v>3.65</v>
      </c>
      <c r="E55">
        <v>0.36567</v>
      </c>
      <c r="G55">
        <v>0.35965000000000003</v>
      </c>
      <c r="I55">
        <v>0.35363</v>
      </c>
      <c r="K55">
        <v>0.34160000000000001</v>
      </c>
      <c r="M55">
        <v>0.30941999999999997</v>
      </c>
      <c r="O55">
        <v>0.27828999999999998</v>
      </c>
      <c r="Q55">
        <v>0.24629999999999999</v>
      </c>
      <c r="S55">
        <v>0.21637000000000001</v>
      </c>
      <c r="U55">
        <v>0.15479999999999999</v>
      </c>
    </row>
    <row r="56" spans="2:21" x14ac:dyDescent="0.3">
      <c r="B56">
        <v>0.37186000000000002</v>
      </c>
      <c r="C56">
        <v>3.7</v>
      </c>
      <c r="E56">
        <v>0.36584</v>
      </c>
      <c r="G56">
        <v>0.35981999999999997</v>
      </c>
      <c r="I56">
        <v>0.35363</v>
      </c>
      <c r="K56">
        <v>0.34142</v>
      </c>
      <c r="M56">
        <v>0.30959999999999999</v>
      </c>
      <c r="O56">
        <v>0.27862999999999999</v>
      </c>
      <c r="Q56">
        <v>0.24629999999999999</v>
      </c>
      <c r="S56">
        <v>0.21654999999999999</v>
      </c>
      <c r="U56">
        <v>0.15497</v>
      </c>
    </row>
    <row r="57" spans="2:21" x14ac:dyDescent="0.3">
      <c r="B57">
        <v>0.37186000000000002</v>
      </c>
      <c r="C57">
        <v>3.75</v>
      </c>
      <c r="E57">
        <v>0.36602000000000001</v>
      </c>
      <c r="G57">
        <v>0.35981999999999997</v>
      </c>
      <c r="I57">
        <v>0.35364000000000001</v>
      </c>
      <c r="K57">
        <v>0.34125</v>
      </c>
      <c r="M57">
        <v>0.30959999999999999</v>
      </c>
      <c r="O57">
        <v>0.27898000000000001</v>
      </c>
      <c r="Q57">
        <v>0.24629999999999999</v>
      </c>
      <c r="S57">
        <v>0.21637999999999999</v>
      </c>
      <c r="U57">
        <v>0.15479999999999999</v>
      </c>
    </row>
    <row r="58" spans="2:21" x14ac:dyDescent="0.3">
      <c r="B58">
        <v>0.37186000000000002</v>
      </c>
      <c r="C58">
        <v>3.8</v>
      </c>
      <c r="E58">
        <v>0.36602000000000001</v>
      </c>
      <c r="G58">
        <v>0.35982999999999998</v>
      </c>
      <c r="I58">
        <v>0.35346</v>
      </c>
      <c r="K58">
        <v>0.34125</v>
      </c>
      <c r="M58">
        <v>0.30942999999999998</v>
      </c>
      <c r="O58">
        <v>0.27899000000000002</v>
      </c>
      <c r="Q58">
        <v>0.24648</v>
      </c>
      <c r="S58">
        <v>0.21637000000000001</v>
      </c>
      <c r="U58">
        <v>0.15479999999999999</v>
      </c>
    </row>
    <row r="59" spans="2:21" x14ac:dyDescent="0.3">
      <c r="B59">
        <v>0.37186999999999998</v>
      </c>
      <c r="C59">
        <v>3.85</v>
      </c>
      <c r="E59">
        <v>0.36602000000000001</v>
      </c>
      <c r="G59">
        <v>0.35965000000000003</v>
      </c>
      <c r="I59">
        <v>0.35346</v>
      </c>
      <c r="K59">
        <v>0.34123999999999999</v>
      </c>
      <c r="M59">
        <v>0.30942999999999998</v>
      </c>
      <c r="O59">
        <v>0.27882000000000001</v>
      </c>
      <c r="Q59">
        <v>0.24629999999999999</v>
      </c>
      <c r="S59">
        <v>0.21654999999999999</v>
      </c>
      <c r="U59">
        <v>0.15462999999999999</v>
      </c>
    </row>
    <row r="60" spans="2:21" x14ac:dyDescent="0.3">
      <c r="B60">
        <v>0.37169000000000002</v>
      </c>
      <c r="C60">
        <v>3.9</v>
      </c>
      <c r="E60">
        <v>0.36584</v>
      </c>
      <c r="G60">
        <v>0.35965999999999998</v>
      </c>
      <c r="I60">
        <v>0.35346</v>
      </c>
      <c r="K60">
        <v>0.34142</v>
      </c>
      <c r="M60">
        <v>0.30942999999999998</v>
      </c>
      <c r="O60">
        <v>0.27847</v>
      </c>
      <c r="Q60">
        <v>0.24629999999999999</v>
      </c>
      <c r="S60">
        <v>0.21654999999999999</v>
      </c>
      <c r="U60">
        <v>0.15462999999999999</v>
      </c>
    </row>
    <row r="61" spans="2:21" x14ac:dyDescent="0.3">
      <c r="B61">
        <v>0.37169000000000002</v>
      </c>
      <c r="C61">
        <v>3.95</v>
      </c>
      <c r="E61">
        <v>0.36585000000000001</v>
      </c>
      <c r="G61">
        <v>0.35948000000000002</v>
      </c>
      <c r="I61">
        <v>0.35346</v>
      </c>
      <c r="K61">
        <v>0.34159</v>
      </c>
      <c r="M61">
        <v>0.30925999999999998</v>
      </c>
      <c r="O61">
        <v>0.27812999999999999</v>
      </c>
      <c r="Q61">
        <v>0.24631</v>
      </c>
      <c r="S61">
        <v>0.21654999999999999</v>
      </c>
      <c r="U61">
        <v>0.15462999999999999</v>
      </c>
    </row>
    <row r="62" spans="2:21" x14ac:dyDescent="0.3">
      <c r="B62">
        <v>0.37169000000000002</v>
      </c>
      <c r="C62">
        <v>4</v>
      </c>
      <c r="E62">
        <v>0.36567</v>
      </c>
      <c r="G62">
        <v>0.35965000000000003</v>
      </c>
      <c r="I62">
        <v>0.35363</v>
      </c>
      <c r="K62">
        <v>0.34159</v>
      </c>
      <c r="M62">
        <v>0.30925999999999998</v>
      </c>
      <c r="O62">
        <v>0.27778000000000003</v>
      </c>
      <c r="Q62">
        <v>0.24612999999999999</v>
      </c>
      <c r="S62">
        <v>0.21654999999999999</v>
      </c>
      <c r="U62">
        <v>0.15462999999999999</v>
      </c>
    </row>
    <row r="63" spans="2:21" x14ac:dyDescent="0.3">
      <c r="B63">
        <v>0.37186000000000002</v>
      </c>
      <c r="C63">
        <v>4.05</v>
      </c>
      <c r="E63">
        <v>0.36584</v>
      </c>
      <c r="G63">
        <v>0.35965000000000003</v>
      </c>
      <c r="I63">
        <v>0.35363</v>
      </c>
      <c r="K63">
        <v>0.34159</v>
      </c>
      <c r="M63">
        <v>0.30925999999999998</v>
      </c>
      <c r="O63">
        <v>0.27778000000000003</v>
      </c>
      <c r="Q63">
        <v>0.24612999999999999</v>
      </c>
      <c r="S63">
        <v>0.21654999999999999</v>
      </c>
      <c r="U63">
        <v>0.15479999999999999</v>
      </c>
    </row>
    <row r="64" spans="2:21" x14ac:dyDescent="0.3">
      <c r="B64">
        <v>0.37186000000000002</v>
      </c>
      <c r="C64">
        <v>4.0999999999999996</v>
      </c>
      <c r="E64">
        <v>0.36602000000000001</v>
      </c>
      <c r="G64">
        <v>0.35981999999999997</v>
      </c>
      <c r="I64">
        <v>0.35363</v>
      </c>
      <c r="K64">
        <v>0.34160000000000001</v>
      </c>
      <c r="M64">
        <v>0.30925999999999998</v>
      </c>
      <c r="O64">
        <v>0.27761000000000002</v>
      </c>
      <c r="Q64">
        <v>0.24612999999999999</v>
      </c>
      <c r="S64">
        <v>0.21654999999999999</v>
      </c>
      <c r="U64">
        <v>0.15479999999999999</v>
      </c>
    </row>
    <row r="65" spans="2:21" x14ac:dyDescent="0.3">
      <c r="B65">
        <v>0.37186000000000002</v>
      </c>
      <c r="C65">
        <v>4.1500000000000004</v>
      </c>
      <c r="E65">
        <v>0.36602000000000001</v>
      </c>
      <c r="G65">
        <v>0.35981999999999997</v>
      </c>
      <c r="I65">
        <v>0.35363</v>
      </c>
      <c r="K65">
        <v>0.34142</v>
      </c>
      <c r="M65">
        <v>0.30925999999999998</v>
      </c>
      <c r="O65">
        <v>0.27761000000000002</v>
      </c>
      <c r="Q65">
        <v>0.24596000000000001</v>
      </c>
      <c r="S65">
        <v>0.21654999999999999</v>
      </c>
      <c r="U65">
        <v>0.15497</v>
      </c>
    </row>
    <row r="66" spans="2:21" x14ac:dyDescent="0.3">
      <c r="B66">
        <v>0.37186000000000002</v>
      </c>
      <c r="C66">
        <v>4.2</v>
      </c>
      <c r="E66">
        <v>0.36602000000000001</v>
      </c>
      <c r="G66">
        <v>0.35982999999999998</v>
      </c>
      <c r="I66">
        <v>0.35364000000000001</v>
      </c>
      <c r="K66">
        <v>0.34125</v>
      </c>
      <c r="M66">
        <v>0.30925000000000002</v>
      </c>
      <c r="O66">
        <v>0.27778000000000003</v>
      </c>
      <c r="Q66">
        <v>0.24596000000000001</v>
      </c>
      <c r="S66">
        <v>0.21654999999999999</v>
      </c>
      <c r="U66">
        <v>0.15479999999999999</v>
      </c>
    </row>
    <row r="67" spans="2:21" x14ac:dyDescent="0.3">
      <c r="B67">
        <v>0.37186000000000002</v>
      </c>
      <c r="C67">
        <v>4.25</v>
      </c>
      <c r="E67">
        <v>0.36584</v>
      </c>
      <c r="G67">
        <v>0.35965000000000003</v>
      </c>
      <c r="I67">
        <v>0.35346</v>
      </c>
      <c r="K67">
        <v>0.34106999999999998</v>
      </c>
      <c r="M67">
        <v>0.30942999999999998</v>
      </c>
      <c r="O67">
        <v>0.27794999999999997</v>
      </c>
      <c r="Q67">
        <v>0.24612999999999999</v>
      </c>
      <c r="S67">
        <v>0.21654999999999999</v>
      </c>
      <c r="U67">
        <v>0.15462999999999999</v>
      </c>
    </row>
    <row r="68" spans="2:21" x14ac:dyDescent="0.3">
      <c r="B68">
        <v>0.37186000000000002</v>
      </c>
      <c r="C68">
        <v>4.3</v>
      </c>
      <c r="E68">
        <v>0.36585000000000001</v>
      </c>
      <c r="G68">
        <v>0.35965000000000003</v>
      </c>
      <c r="I68">
        <v>0.35346</v>
      </c>
      <c r="K68">
        <v>0.34123999999999999</v>
      </c>
      <c r="M68">
        <v>0.30941999999999997</v>
      </c>
      <c r="O68">
        <v>0.27828999999999998</v>
      </c>
      <c r="Q68">
        <v>0.24612999999999999</v>
      </c>
      <c r="S68">
        <v>0.21654999999999999</v>
      </c>
      <c r="U68">
        <v>0.15445999999999999</v>
      </c>
    </row>
    <row r="69" spans="2:21" x14ac:dyDescent="0.3">
      <c r="B69">
        <v>0.37186000000000002</v>
      </c>
      <c r="C69">
        <v>4.3499999999999996</v>
      </c>
      <c r="E69">
        <v>0.36567</v>
      </c>
      <c r="G69">
        <v>0.35965000000000003</v>
      </c>
      <c r="I69">
        <v>0.35346</v>
      </c>
      <c r="K69">
        <v>0.34142</v>
      </c>
      <c r="M69">
        <v>0.30959999999999999</v>
      </c>
      <c r="O69">
        <v>0.27862999999999999</v>
      </c>
      <c r="Q69">
        <v>0.24612999999999999</v>
      </c>
      <c r="S69">
        <v>0.21637999999999999</v>
      </c>
      <c r="U69">
        <v>0.15411</v>
      </c>
    </row>
    <row r="70" spans="2:21" x14ac:dyDescent="0.3">
      <c r="B70">
        <v>0.37186000000000002</v>
      </c>
      <c r="C70">
        <v>4.4000000000000004</v>
      </c>
      <c r="E70">
        <v>0.36584</v>
      </c>
      <c r="G70">
        <v>0.35965000000000003</v>
      </c>
      <c r="I70">
        <v>0.35363</v>
      </c>
      <c r="K70">
        <v>0.34159</v>
      </c>
      <c r="M70">
        <v>0.30959999999999999</v>
      </c>
      <c r="O70">
        <v>0.27898000000000001</v>
      </c>
      <c r="Q70">
        <v>0.24629999999999999</v>
      </c>
      <c r="S70">
        <v>0.2162</v>
      </c>
      <c r="U70">
        <v>0.15411</v>
      </c>
    </row>
    <row r="71" spans="2:21" x14ac:dyDescent="0.3">
      <c r="B71">
        <v>0.37186000000000002</v>
      </c>
      <c r="C71">
        <v>4.45</v>
      </c>
      <c r="E71">
        <v>0.36584</v>
      </c>
      <c r="G71">
        <v>0.35981999999999997</v>
      </c>
      <c r="I71">
        <v>0.3538</v>
      </c>
      <c r="K71">
        <v>0.34176000000000001</v>
      </c>
      <c r="M71">
        <v>0.30942999999999998</v>
      </c>
      <c r="O71">
        <v>0.27916000000000002</v>
      </c>
      <c r="Q71">
        <v>0.24629999999999999</v>
      </c>
      <c r="S71">
        <v>0.21637999999999999</v>
      </c>
      <c r="U71">
        <v>0.15428</v>
      </c>
    </row>
    <row r="72" spans="2:21" x14ac:dyDescent="0.3">
      <c r="B72">
        <v>0.37186000000000002</v>
      </c>
      <c r="C72">
        <v>4.5</v>
      </c>
      <c r="E72">
        <v>0.36602000000000001</v>
      </c>
      <c r="G72">
        <v>0.35981999999999997</v>
      </c>
      <c r="I72">
        <v>0.3538</v>
      </c>
      <c r="K72">
        <v>0.34176000000000001</v>
      </c>
      <c r="M72">
        <v>0.30942999999999998</v>
      </c>
      <c r="O72">
        <v>0.27916000000000002</v>
      </c>
      <c r="Q72">
        <v>0.24648</v>
      </c>
      <c r="S72">
        <v>0.21637999999999999</v>
      </c>
      <c r="U72">
        <v>0.15445</v>
      </c>
    </row>
    <row r="73" spans="2:21" x14ac:dyDescent="0.3">
      <c r="B73">
        <v>0.37186000000000002</v>
      </c>
      <c r="C73">
        <v>4.55</v>
      </c>
      <c r="E73">
        <v>0.36602000000000001</v>
      </c>
      <c r="G73">
        <v>0.36</v>
      </c>
      <c r="I73">
        <v>0.35381000000000001</v>
      </c>
      <c r="K73">
        <v>0.34177000000000002</v>
      </c>
      <c r="M73">
        <v>0.30942999999999998</v>
      </c>
      <c r="O73">
        <v>0.27899000000000002</v>
      </c>
      <c r="Q73">
        <v>0.24648</v>
      </c>
      <c r="S73">
        <v>0.21637999999999999</v>
      </c>
      <c r="U73">
        <v>0.15479999999999999</v>
      </c>
    </row>
    <row r="74" spans="2:21" x14ac:dyDescent="0.3">
      <c r="B74">
        <v>0.37186000000000002</v>
      </c>
      <c r="C74">
        <v>4.5999999999999996</v>
      </c>
      <c r="E74">
        <v>0.36602000000000001</v>
      </c>
      <c r="G74">
        <v>0.35981999999999997</v>
      </c>
      <c r="I74">
        <v>0.35363</v>
      </c>
      <c r="K74">
        <v>0.34160000000000001</v>
      </c>
      <c r="M74">
        <v>0.30925999999999998</v>
      </c>
      <c r="O74">
        <v>0.27865000000000001</v>
      </c>
      <c r="Q74">
        <v>0.24648</v>
      </c>
      <c r="S74">
        <v>0.21637999999999999</v>
      </c>
      <c r="U74">
        <v>0.15497</v>
      </c>
    </row>
    <row r="75" spans="2:21" x14ac:dyDescent="0.3">
      <c r="B75">
        <v>0.37186000000000002</v>
      </c>
      <c r="C75">
        <v>4.6500000000000004</v>
      </c>
      <c r="E75">
        <v>0.36584</v>
      </c>
      <c r="G75">
        <v>0.35982999999999998</v>
      </c>
      <c r="I75">
        <v>0.35364000000000001</v>
      </c>
      <c r="K75">
        <v>0.34142</v>
      </c>
      <c r="M75">
        <v>0.30925999999999998</v>
      </c>
      <c r="O75">
        <v>0.27812999999999999</v>
      </c>
      <c r="Q75">
        <v>0.24629999999999999</v>
      </c>
      <c r="S75">
        <v>0.21637999999999999</v>
      </c>
      <c r="U75">
        <v>0.15497</v>
      </c>
    </row>
    <row r="76" spans="2:21" x14ac:dyDescent="0.3">
      <c r="B76">
        <v>0.37186000000000002</v>
      </c>
      <c r="C76">
        <v>4.7</v>
      </c>
      <c r="E76">
        <v>0.36584</v>
      </c>
      <c r="G76">
        <v>0.35965000000000003</v>
      </c>
      <c r="I76">
        <v>0.35346</v>
      </c>
      <c r="K76">
        <v>0.34142</v>
      </c>
      <c r="M76">
        <v>0.30925999999999998</v>
      </c>
      <c r="O76">
        <v>0.27794999999999997</v>
      </c>
      <c r="Q76">
        <v>0.24631</v>
      </c>
      <c r="S76">
        <v>0.21637999999999999</v>
      </c>
      <c r="U76">
        <v>0.15479999999999999</v>
      </c>
    </row>
    <row r="77" spans="2:21" x14ac:dyDescent="0.3">
      <c r="B77">
        <v>0.37203999999999998</v>
      </c>
      <c r="C77">
        <v>4.75</v>
      </c>
      <c r="E77">
        <v>0.36584</v>
      </c>
      <c r="G77">
        <v>0.35965000000000003</v>
      </c>
      <c r="I77">
        <v>0.35346</v>
      </c>
      <c r="K77">
        <v>0.34125</v>
      </c>
      <c r="M77">
        <v>0.30925999999999998</v>
      </c>
      <c r="O77">
        <v>0.27778000000000003</v>
      </c>
      <c r="Q77">
        <v>0.24612999999999999</v>
      </c>
      <c r="S77">
        <v>0.21637999999999999</v>
      </c>
      <c r="U77">
        <v>0.15479999999999999</v>
      </c>
    </row>
    <row r="78" spans="2:21" x14ac:dyDescent="0.3">
      <c r="B78">
        <v>0.37203999999999998</v>
      </c>
      <c r="C78">
        <v>4.8</v>
      </c>
      <c r="E78">
        <v>0.36584</v>
      </c>
      <c r="G78">
        <v>0.35981999999999997</v>
      </c>
      <c r="I78">
        <v>0.35363</v>
      </c>
      <c r="K78">
        <v>0.34123999999999999</v>
      </c>
      <c r="M78">
        <v>0.30925999999999998</v>
      </c>
      <c r="O78">
        <v>0.27761000000000002</v>
      </c>
      <c r="Q78">
        <v>0.24612999999999999</v>
      </c>
      <c r="S78">
        <v>0.21637999999999999</v>
      </c>
      <c r="U78">
        <v>0.15479999999999999</v>
      </c>
    </row>
    <row r="79" spans="2:21" x14ac:dyDescent="0.3">
      <c r="B79">
        <v>0.37186000000000002</v>
      </c>
      <c r="C79">
        <v>4.8499999999999996</v>
      </c>
      <c r="E79">
        <v>0.36602000000000001</v>
      </c>
      <c r="G79">
        <v>0.35981999999999997</v>
      </c>
      <c r="I79">
        <v>0.35363</v>
      </c>
      <c r="K79">
        <v>0.34142</v>
      </c>
      <c r="M79">
        <v>0.30908000000000002</v>
      </c>
      <c r="O79">
        <v>0.27761000000000002</v>
      </c>
      <c r="Q79">
        <v>0.24596000000000001</v>
      </c>
      <c r="S79">
        <v>0.2162</v>
      </c>
      <c r="U79">
        <v>0.15462999999999999</v>
      </c>
    </row>
    <row r="80" spans="2:21" x14ac:dyDescent="0.3">
      <c r="B80">
        <v>0.37186000000000002</v>
      </c>
      <c r="C80">
        <v>4.9000000000000004</v>
      </c>
      <c r="E80">
        <v>0.36602000000000001</v>
      </c>
      <c r="G80">
        <v>0.36</v>
      </c>
      <c r="I80">
        <v>0.35363</v>
      </c>
      <c r="K80">
        <v>0.34159</v>
      </c>
      <c r="M80">
        <v>0.30925999999999998</v>
      </c>
      <c r="O80">
        <v>0.27778000000000003</v>
      </c>
      <c r="Q80">
        <v>0.24596000000000001</v>
      </c>
      <c r="S80">
        <v>0.2162</v>
      </c>
      <c r="U80">
        <v>0.15462999999999999</v>
      </c>
    </row>
    <row r="81" spans="2:21" x14ac:dyDescent="0.3">
      <c r="B81">
        <v>0.37186000000000002</v>
      </c>
      <c r="C81">
        <v>4.95</v>
      </c>
      <c r="E81">
        <v>0.36602000000000001</v>
      </c>
      <c r="G81">
        <v>0.36</v>
      </c>
      <c r="I81">
        <v>0.3538</v>
      </c>
      <c r="K81">
        <v>0.34176000000000001</v>
      </c>
      <c r="M81">
        <v>0.30925999999999998</v>
      </c>
      <c r="O81">
        <v>0.27794999999999997</v>
      </c>
      <c r="Q81">
        <v>0.24596000000000001</v>
      </c>
      <c r="S81">
        <v>0.2162</v>
      </c>
      <c r="U81">
        <v>0.15462999999999999</v>
      </c>
    </row>
    <row r="82" spans="2:21" x14ac:dyDescent="0.3">
      <c r="B82">
        <v>0.37186000000000002</v>
      </c>
      <c r="C82">
        <v>5</v>
      </c>
      <c r="E82">
        <v>0.36602000000000001</v>
      </c>
      <c r="G82">
        <v>0.35981999999999997</v>
      </c>
      <c r="I82">
        <v>0.35381000000000001</v>
      </c>
      <c r="K82">
        <v>0.34176000000000001</v>
      </c>
      <c r="M82">
        <v>0.30908000000000002</v>
      </c>
      <c r="O82">
        <v>0.27828999999999998</v>
      </c>
      <c r="Q82">
        <v>0.24596000000000001</v>
      </c>
      <c r="S82">
        <v>0.2162</v>
      </c>
      <c r="U82">
        <v>0.15479999999999999</v>
      </c>
    </row>
    <row r="83" spans="2:21" x14ac:dyDescent="0.3">
      <c r="B83">
        <v>0.37186000000000002</v>
      </c>
      <c r="C83">
        <v>5.05</v>
      </c>
      <c r="E83">
        <v>0.36584</v>
      </c>
      <c r="G83">
        <v>0.35982999999999998</v>
      </c>
      <c r="I83">
        <v>0.35364000000000001</v>
      </c>
      <c r="K83">
        <v>0.34177000000000002</v>
      </c>
      <c r="M83">
        <v>0.30908000000000002</v>
      </c>
      <c r="O83">
        <v>0.27862999999999999</v>
      </c>
      <c r="Q83">
        <v>0.24612999999999999</v>
      </c>
      <c r="S83">
        <v>0.21621000000000001</v>
      </c>
      <c r="U83">
        <v>0.15479999999999999</v>
      </c>
    </row>
    <row r="84" spans="2:21" x14ac:dyDescent="0.3">
      <c r="B84">
        <v>0.37186000000000002</v>
      </c>
      <c r="C84">
        <v>5.0999999999999996</v>
      </c>
      <c r="E84">
        <v>0.36584</v>
      </c>
      <c r="G84">
        <v>0.35965000000000003</v>
      </c>
      <c r="I84">
        <v>0.35346</v>
      </c>
      <c r="K84">
        <v>0.34142</v>
      </c>
      <c r="M84">
        <v>0.30925999999999998</v>
      </c>
      <c r="O84">
        <v>0.27898000000000001</v>
      </c>
      <c r="Q84">
        <v>0.24612999999999999</v>
      </c>
      <c r="S84">
        <v>0.21603</v>
      </c>
      <c r="U84">
        <v>0.15497</v>
      </c>
    </row>
    <row r="85" spans="2:21" x14ac:dyDescent="0.3">
      <c r="B85">
        <v>0.37186000000000002</v>
      </c>
      <c r="C85">
        <v>5.15</v>
      </c>
      <c r="E85">
        <v>0.36584</v>
      </c>
      <c r="G85">
        <v>0.35965000000000003</v>
      </c>
      <c r="I85">
        <v>0.35346</v>
      </c>
      <c r="K85">
        <v>0.34142</v>
      </c>
      <c r="M85">
        <v>0.30925000000000002</v>
      </c>
      <c r="O85">
        <v>0.27916000000000002</v>
      </c>
      <c r="Q85">
        <v>0.24629999999999999</v>
      </c>
      <c r="S85">
        <v>0.21603</v>
      </c>
      <c r="U85">
        <v>0.15479999999999999</v>
      </c>
    </row>
    <row r="86" spans="2:21" x14ac:dyDescent="0.3">
      <c r="B86">
        <v>0.37186000000000002</v>
      </c>
      <c r="C86">
        <v>5.2</v>
      </c>
      <c r="E86">
        <v>0.36584</v>
      </c>
      <c r="G86">
        <v>0.35981999999999997</v>
      </c>
      <c r="I86">
        <v>0.35346</v>
      </c>
      <c r="K86">
        <v>0.34125</v>
      </c>
      <c r="M86">
        <v>0.30942999999999998</v>
      </c>
      <c r="O86">
        <v>0.27916000000000002</v>
      </c>
      <c r="Q86">
        <v>0.24648</v>
      </c>
      <c r="S86">
        <v>0.21603</v>
      </c>
      <c r="U86">
        <v>0.15445999999999999</v>
      </c>
    </row>
    <row r="87" spans="2:21" x14ac:dyDescent="0.3">
      <c r="B87">
        <v>0.37186999999999998</v>
      </c>
      <c r="C87">
        <v>5.25</v>
      </c>
      <c r="E87">
        <v>0.36602000000000001</v>
      </c>
      <c r="G87">
        <v>0.35981999999999997</v>
      </c>
      <c r="I87">
        <v>0.35363</v>
      </c>
      <c r="K87">
        <v>0.34125</v>
      </c>
      <c r="M87">
        <v>0.30942999999999998</v>
      </c>
      <c r="O87">
        <v>0.27899000000000002</v>
      </c>
      <c r="Q87">
        <v>0.24648</v>
      </c>
      <c r="S87">
        <v>0.21586</v>
      </c>
      <c r="U87">
        <v>0.15376999999999999</v>
      </c>
    </row>
    <row r="88" spans="2:21" x14ac:dyDescent="0.3">
      <c r="B88">
        <v>0.37169000000000002</v>
      </c>
      <c r="C88">
        <v>5.3</v>
      </c>
      <c r="E88">
        <v>0.36602000000000001</v>
      </c>
      <c r="G88">
        <v>0.36</v>
      </c>
      <c r="I88">
        <v>0.35363</v>
      </c>
      <c r="K88">
        <v>0.34123999999999999</v>
      </c>
      <c r="M88">
        <v>0.30925999999999998</v>
      </c>
      <c r="O88">
        <v>0.27865000000000001</v>
      </c>
      <c r="Q88">
        <v>0.24646999999999999</v>
      </c>
      <c r="S88">
        <v>0.21586</v>
      </c>
      <c r="U88">
        <v>0.15359999999999999</v>
      </c>
    </row>
    <row r="89" spans="2:21" x14ac:dyDescent="0.3">
      <c r="B89">
        <v>0.37186000000000002</v>
      </c>
      <c r="C89">
        <v>5.35</v>
      </c>
      <c r="E89">
        <v>0.36602000000000001</v>
      </c>
      <c r="G89">
        <v>0.36</v>
      </c>
      <c r="I89">
        <v>0.3538</v>
      </c>
      <c r="K89">
        <v>0.34142</v>
      </c>
      <c r="M89">
        <v>0.30925999999999998</v>
      </c>
      <c r="O89">
        <v>0.27812999999999999</v>
      </c>
      <c r="Q89">
        <v>0.24665000000000001</v>
      </c>
      <c r="S89">
        <v>0.21603</v>
      </c>
      <c r="U89">
        <v>0.15359999999999999</v>
      </c>
    </row>
    <row r="90" spans="2:21" x14ac:dyDescent="0.3">
      <c r="B90">
        <v>0.37186000000000002</v>
      </c>
      <c r="C90">
        <v>5.4</v>
      </c>
      <c r="E90">
        <v>0.36584</v>
      </c>
      <c r="G90">
        <v>0.36</v>
      </c>
      <c r="I90">
        <v>0.3538</v>
      </c>
      <c r="K90">
        <v>0.34159</v>
      </c>
      <c r="M90">
        <v>0.30925999999999998</v>
      </c>
      <c r="O90">
        <v>0.27794999999999997</v>
      </c>
      <c r="Q90">
        <v>0.24648</v>
      </c>
      <c r="S90">
        <v>0.21603</v>
      </c>
      <c r="U90">
        <v>0.15359999999999999</v>
      </c>
    </row>
    <row r="91" spans="2:21" x14ac:dyDescent="0.3">
      <c r="B91">
        <v>0.37186000000000002</v>
      </c>
      <c r="C91">
        <v>5.45</v>
      </c>
      <c r="E91">
        <v>0.36584</v>
      </c>
      <c r="G91">
        <v>0.35981999999999997</v>
      </c>
      <c r="I91">
        <v>0.35381000000000001</v>
      </c>
      <c r="K91">
        <v>0.34176000000000001</v>
      </c>
      <c r="M91">
        <v>0.30908000000000002</v>
      </c>
      <c r="O91">
        <v>0.27778000000000003</v>
      </c>
      <c r="Q91">
        <v>0.24648</v>
      </c>
      <c r="S91">
        <v>0.2162</v>
      </c>
      <c r="U91">
        <v>0.15359</v>
      </c>
    </row>
    <row r="92" spans="2:21" x14ac:dyDescent="0.3">
      <c r="B92">
        <v>0.37186000000000002</v>
      </c>
      <c r="C92">
        <v>5.5</v>
      </c>
      <c r="E92">
        <v>0.36584</v>
      </c>
      <c r="G92">
        <v>0.35981999999999997</v>
      </c>
      <c r="I92">
        <v>0.35363</v>
      </c>
      <c r="K92">
        <v>0.34177000000000002</v>
      </c>
      <c r="M92">
        <v>0.30925999999999998</v>
      </c>
      <c r="O92">
        <v>0.27761000000000002</v>
      </c>
      <c r="Q92">
        <v>0.24648</v>
      </c>
      <c r="S92">
        <v>0.2162</v>
      </c>
      <c r="U92">
        <v>0.15393999999999999</v>
      </c>
    </row>
    <row r="93" spans="2:21" x14ac:dyDescent="0.3">
      <c r="B93">
        <v>0.37186000000000002</v>
      </c>
      <c r="C93">
        <v>5.55</v>
      </c>
      <c r="E93">
        <v>0.36584</v>
      </c>
      <c r="G93">
        <v>0.35981999999999997</v>
      </c>
      <c r="I93">
        <v>0.35364000000000001</v>
      </c>
      <c r="K93">
        <v>0.34160000000000001</v>
      </c>
      <c r="M93">
        <v>0.30925999999999998</v>
      </c>
      <c r="O93">
        <v>0.27761000000000002</v>
      </c>
      <c r="Q93">
        <v>0.24631</v>
      </c>
      <c r="S93">
        <v>0.2162</v>
      </c>
      <c r="U93">
        <v>0.15445</v>
      </c>
    </row>
    <row r="94" spans="2:21" x14ac:dyDescent="0.3">
      <c r="B94">
        <v>0.37186000000000002</v>
      </c>
      <c r="C94">
        <v>5.6</v>
      </c>
      <c r="E94">
        <v>0.36601</v>
      </c>
      <c r="G94">
        <v>0.35981999999999997</v>
      </c>
      <c r="I94">
        <v>0.35346</v>
      </c>
      <c r="K94">
        <v>0.34142</v>
      </c>
      <c r="M94">
        <v>0.30925999999999998</v>
      </c>
      <c r="O94">
        <v>0.27778000000000003</v>
      </c>
      <c r="Q94">
        <v>0.24612999999999999</v>
      </c>
      <c r="S94">
        <v>0.21637999999999999</v>
      </c>
      <c r="U94">
        <v>0.15462000000000001</v>
      </c>
    </row>
    <row r="95" spans="2:21" x14ac:dyDescent="0.3">
      <c r="B95">
        <v>0.37186000000000002</v>
      </c>
      <c r="C95">
        <v>5.65</v>
      </c>
      <c r="E95">
        <v>0.36619000000000002</v>
      </c>
      <c r="G95">
        <v>0.35981999999999997</v>
      </c>
      <c r="I95">
        <v>0.35363</v>
      </c>
      <c r="K95">
        <v>0.34142</v>
      </c>
      <c r="M95">
        <v>0.30925999999999998</v>
      </c>
      <c r="O95">
        <v>0.27794999999999997</v>
      </c>
      <c r="Q95">
        <v>0.24612999999999999</v>
      </c>
      <c r="S95">
        <v>0.2162</v>
      </c>
      <c r="U95">
        <v>0.15497</v>
      </c>
    </row>
    <row r="96" spans="2:21" x14ac:dyDescent="0.3">
      <c r="B96">
        <v>0.37186000000000002</v>
      </c>
      <c r="C96">
        <v>5.7</v>
      </c>
      <c r="E96">
        <v>0.36602000000000001</v>
      </c>
      <c r="G96">
        <v>0.36</v>
      </c>
      <c r="I96">
        <v>0.35363</v>
      </c>
      <c r="K96">
        <v>0.34125</v>
      </c>
      <c r="M96">
        <v>0.30925999999999998</v>
      </c>
      <c r="O96">
        <v>0.27828999999999998</v>
      </c>
      <c r="Q96">
        <v>0.24596000000000001</v>
      </c>
      <c r="S96">
        <v>0.21637999999999999</v>
      </c>
      <c r="U96">
        <v>0.15479999999999999</v>
      </c>
    </row>
    <row r="97" spans="2:21" x14ac:dyDescent="0.3">
      <c r="B97">
        <v>0.37203999999999998</v>
      </c>
      <c r="C97">
        <v>5.75</v>
      </c>
      <c r="E97">
        <v>0.36602000000000001</v>
      </c>
      <c r="G97">
        <v>0.36</v>
      </c>
      <c r="I97">
        <v>0.3538</v>
      </c>
      <c r="K97">
        <v>0.34123999999999999</v>
      </c>
      <c r="M97">
        <v>0.30925000000000002</v>
      </c>
      <c r="O97">
        <v>0.27862999999999999</v>
      </c>
      <c r="Q97">
        <v>0.24596000000000001</v>
      </c>
      <c r="S97">
        <v>0.2162</v>
      </c>
      <c r="U97">
        <v>0.15479999999999999</v>
      </c>
    </row>
    <row r="98" spans="2:21" x14ac:dyDescent="0.3">
      <c r="B98">
        <v>0.37203999999999998</v>
      </c>
      <c r="C98">
        <v>5.8</v>
      </c>
      <c r="E98">
        <v>0.36584</v>
      </c>
      <c r="G98">
        <v>0.36</v>
      </c>
      <c r="I98">
        <v>0.3538</v>
      </c>
      <c r="K98">
        <v>0.34142</v>
      </c>
      <c r="M98">
        <v>0.30942999999999998</v>
      </c>
      <c r="O98">
        <v>0.27898000000000001</v>
      </c>
      <c r="Q98">
        <v>0.24612999999999999</v>
      </c>
      <c r="S98">
        <v>0.21637999999999999</v>
      </c>
      <c r="U98">
        <v>0.15462999999999999</v>
      </c>
    </row>
    <row r="99" spans="2:21" x14ac:dyDescent="0.3">
      <c r="B99">
        <v>0.37203999999999998</v>
      </c>
      <c r="C99">
        <v>5.85</v>
      </c>
      <c r="E99">
        <v>0.36584</v>
      </c>
      <c r="G99">
        <v>0.35982999999999998</v>
      </c>
      <c r="I99">
        <v>0.3538</v>
      </c>
      <c r="K99">
        <v>0.34159</v>
      </c>
      <c r="M99">
        <v>0.30942999999999998</v>
      </c>
      <c r="O99">
        <v>0.27916000000000002</v>
      </c>
      <c r="Q99">
        <v>0.24612999999999999</v>
      </c>
      <c r="S99">
        <v>0.21621000000000001</v>
      </c>
      <c r="U99">
        <v>0.15462999999999999</v>
      </c>
    </row>
    <row r="100" spans="2:21" x14ac:dyDescent="0.3">
      <c r="B100">
        <v>0.37203999999999998</v>
      </c>
      <c r="C100">
        <v>5.9</v>
      </c>
      <c r="E100">
        <v>0.36584</v>
      </c>
      <c r="G100">
        <v>0.35965000000000003</v>
      </c>
      <c r="I100">
        <v>0.35381000000000001</v>
      </c>
      <c r="K100">
        <v>0.34159</v>
      </c>
      <c r="M100">
        <v>0.30925999999999998</v>
      </c>
      <c r="O100">
        <v>0.27916000000000002</v>
      </c>
      <c r="Q100">
        <v>0.24629999999999999</v>
      </c>
      <c r="S100">
        <v>0.21603</v>
      </c>
      <c r="U100">
        <v>0.15462999999999999</v>
      </c>
    </row>
    <row r="101" spans="2:21" x14ac:dyDescent="0.3">
      <c r="B101">
        <v>0.37186000000000002</v>
      </c>
      <c r="C101">
        <v>5.95</v>
      </c>
      <c r="E101">
        <v>0.36602000000000001</v>
      </c>
      <c r="G101">
        <v>0.35965000000000003</v>
      </c>
      <c r="I101">
        <v>0.35364000000000001</v>
      </c>
      <c r="K101">
        <v>0.34176000000000001</v>
      </c>
      <c r="M101">
        <v>0.30925999999999998</v>
      </c>
      <c r="O101">
        <v>0.27899000000000002</v>
      </c>
      <c r="Q101">
        <v>0.24648</v>
      </c>
      <c r="S101">
        <v>0.21603</v>
      </c>
      <c r="U101">
        <v>0.15479999999999999</v>
      </c>
    </row>
    <row r="102" spans="2:21" x14ac:dyDescent="0.3">
      <c r="B102">
        <v>0.37186000000000002</v>
      </c>
      <c r="C102">
        <v>6</v>
      </c>
      <c r="E102">
        <v>0.36601</v>
      </c>
      <c r="G102">
        <v>0.35965000000000003</v>
      </c>
      <c r="I102">
        <v>0.35346</v>
      </c>
      <c r="K102">
        <v>0.34177000000000002</v>
      </c>
      <c r="M102">
        <v>0.30925999999999998</v>
      </c>
      <c r="O102">
        <v>0.27865000000000001</v>
      </c>
      <c r="Q102">
        <v>0.24646999999999999</v>
      </c>
      <c r="S102">
        <v>0.21603</v>
      </c>
      <c r="U102">
        <v>0.15479999999999999</v>
      </c>
    </row>
    <row r="103" spans="2:21" x14ac:dyDescent="0.3">
      <c r="B103">
        <v>0.37203999999999998</v>
      </c>
      <c r="C103">
        <v>6.05</v>
      </c>
      <c r="E103">
        <v>0.36619000000000002</v>
      </c>
      <c r="G103">
        <v>0.35981999999999997</v>
      </c>
      <c r="I103">
        <v>0.35346</v>
      </c>
      <c r="K103">
        <v>0.34160000000000001</v>
      </c>
      <c r="M103">
        <v>0.30925999999999998</v>
      </c>
      <c r="O103">
        <v>0.27812999999999999</v>
      </c>
      <c r="Q103">
        <v>0.24665000000000001</v>
      </c>
      <c r="S103">
        <v>0.21586</v>
      </c>
      <c r="U103">
        <v>0.15479999999999999</v>
      </c>
    </row>
    <row r="104" spans="2:21" x14ac:dyDescent="0.3">
      <c r="B104">
        <v>0.37203999999999998</v>
      </c>
      <c r="C104">
        <v>6.1</v>
      </c>
      <c r="E104">
        <v>0.36602000000000001</v>
      </c>
      <c r="G104">
        <v>0.36</v>
      </c>
      <c r="I104">
        <v>0.35363</v>
      </c>
      <c r="K104">
        <v>0.34142</v>
      </c>
      <c r="M104">
        <v>0.30925999999999998</v>
      </c>
      <c r="O104">
        <v>0.27794999999999997</v>
      </c>
      <c r="Q104">
        <v>0.24665000000000001</v>
      </c>
      <c r="S104">
        <v>0.21603</v>
      </c>
      <c r="U104">
        <v>0.15479999999999999</v>
      </c>
    </row>
    <row r="105" spans="2:21" x14ac:dyDescent="0.3">
      <c r="B105">
        <v>0.37203999999999998</v>
      </c>
      <c r="C105">
        <v>6.15</v>
      </c>
      <c r="E105">
        <v>0.36584</v>
      </c>
      <c r="G105">
        <v>0.36</v>
      </c>
      <c r="I105">
        <v>0.35363</v>
      </c>
      <c r="K105">
        <v>0.34125</v>
      </c>
      <c r="M105">
        <v>0.30925999999999998</v>
      </c>
      <c r="O105">
        <v>0.27778000000000003</v>
      </c>
      <c r="Q105">
        <v>0.24665000000000001</v>
      </c>
      <c r="S105">
        <v>0.21603</v>
      </c>
      <c r="U105">
        <v>0.15445999999999999</v>
      </c>
    </row>
    <row r="106" spans="2:21" x14ac:dyDescent="0.3">
      <c r="B106">
        <v>0.37203999999999998</v>
      </c>
      <c r="C106">
        <v>6.2</v>
      </c>
      <c r="E106">
        <v>0.36584</v>
      </c>
      <c r="G106">
        <v>0.36</v>
      </c>
      <c r="I106">
        <v>0.3538</v>
      </c>
      <c r="K106">
        <v>0.34125</v>
      </c>
      <c r="M106">
        <v>0.30908000000000002</v>
      </c>
      <c r="O106">
        <v>0.27761000000000002</v>
      </c>
      <c r="Q106">
        <v>0.24648</v>
      </c>
      <c r="S106">
        <v>0.21603</v>
      </c>
      <c r="U106">
        <v>0.15393999999999999</v>
      </c>
    </row>
    <row r="107" spans="2:21" x14ac:dyDescent="0.3">
      <c r="B107">
        <v>0.37203999999999998</v>
      </c>
      <c r="C107">
        <v>6.25</v>
      </c>
      <c r="E107">
        <v>0.36584</v>
      </c>
      <c r="G107">
        <v>0.35981999999999997</v>
      </c>
      <c r="I107">
        <v>0.3538</v>
      </c>
      <c r="K107">
        <v>0.34123999999999999</v>
      </c>
      <c r="M107">
        <v>0.30925999999999998</v>
      </c>
      <c r="O107">
        <v>0.27761000000000002</v>
      </c>
      <c r="Q107">
        <v>0.24648</v>
      </c>
      <c r="S107">
        <v>0.2162</v>
      </c>
      <c r="U107">
        <v>0.15359999999999999</v>
      </c>
    </row>
    <row r="108" spans="2:21" x14ac:dyDescent="0.3">
      <c r="B108">
        <v>0.37186000000000002</v>
      </c>
      <c r="C108">
        <v>6.3</v>
      </c>
      <c r="E108">
        <v>0.36584</v>
      </c>
      <c r="G108">
        <v>0.35981999999999997</v>
      </c>
      <c r="I108">
        <v>0.35381000000000001</v>
      </c>
      <c r="K108">
        <v>0.34142</v>
      </c>
      <c r="M108">
        <v>0.30925000000000002</v>
      </c>
      <c r="O108">
        <v>0.27778000000000003</v>
      </c>
      <c r="Q108">
        <v>0.24631</v>
      </c>
      <c r="S108">
        <v>0.2162</v>
      </c>
      <c r="U108">
        <v>0.15359999999999999</v>
      </c>
    </row>
    <row r="109" spans="2:21" x14ac:dyDescent="0.3">
      <c r="B109">
        <v>0.37186000000000002</v>
      </c>
      <c r="C109">
        <v>6.35</v>
      </c>
      <c r="E109">
        <v>0.36602000000000001</v>
      </c>
      <c r="G109">
        <v>0.35981999999999997</v>
      </c>
      <c r="I109">
        <v>0.35363</v>
      </c>
      <c r="K109">
        <v>0.34159</v>
      </c>
      <c r="M109">
        <v>0.30942999999999998</v>
      </c>
      <c r="O109">
        <v>0.27794999999999997</v>
      </c>
      <c r="Q109">
        <v>0.24612999999999999</v>
      </c>
      <c r="S109">
        <v>0.21637999999999999</v>
      </c>
      <c r="U109">
        <v>0.15359999999999999</v>
      </c>
    </row>
    <row r="110" spans="2:21" x14ac:dyDescent="0.3">
      <c r="B110">
        <v>0.37203999999999998</v>
      </c>
      <c r="C110">
        <v>6.4</v>
      </c>
      <c r="E110">
        <v>0.36602000000000001</v>
      </c>
      <c r="G110">
        <v>0.35981999999999997</v>
      </c>
      <c r="I110">
        <v>0.35364000000000001</v>
      </c>
      <c r="K110">
        <v>0.34176000000000001</v>
      </c>
      <c r="M110">
        <v>0.30942999999999998</v>
      </c>
      <c r="O110">
        <v>0.27828999999999998</v>
      </c>
      <c r="Q110">
        <v>0.24612999999999999</v>
      </c>
      <c r="S110">
        <v>0.21637999999999999</v>
      </c>
      <c r="U110">
        <v>0.15359</v>
      </c>
    </row>
    <row r="111" spans="2:21" x14ac:dyDescent="0.3">
      <c r="B111">
        <v>0.37203999999999998</v>
      </c>
      <c r="C111">
        <v>6.45</v>
      </c>
      <c r="E111">
        <v>0.36602000000000001</v>
      </c>
      <c r="G111">
        <v>0.35981999999999997</v>
      </c>
      <c r="I111">
        <v>0.35346</v>
      </c>
      <c r="K111">
        <v>0.34177000000000002</v>
      </c>
      <c r="M111">
        <v>0.30942999999999998</v>
      </c>
      <c r="O111">
        <v>0.27862999999999999</v>
      </c>
      <c r="Q111">
        <v>0.24596000000000001</v>
      </c>
      <c r="S111">
        <v>0.21637999999999999</v>
      </c>
      <c r="U111">
        <v>0.15376000000000001</v>
      </c>
    </row>
    <row r="112" spans="2:21" x14ac:dyDescent="0.3">
      <c r="B112">
        <v>0.37203999999999998</v>
      </c>
      <c r="C112">
        <v>6.5</v>
      </c>
      <c r="E112">
        <v>0.36602000000000001</v>
      </c>
      <c r="G112">
        <v>0.36</v>
      </c>
      <c r="I112">
        <v>0.35363</v>
      </c>
      <c r="K112">
        <v>0.34159</v>
      </c>
      <c r="M112">
        <v>0.30942999999999998</v>
      </c>
      <c r="O112">
        <v>0.27898000000000001</v>
      </c>
      <c r="Q112">
        <v>0.24596000000000001</v>
      </c>
      <c r="S112">
        <v>0.21637999999999999</v>
      </c>
      <c r="U112">
        <v>0.15428</v>
      </c>
    </row>
    <row r="113" spans="2:21" x14ac:dyDescent="0.3">
      <c r="B113">
        <v>0.37203999999999998</v>
      </c>
      <c r="C113">
        <v>6.55</v>
      </c>
      <c r="E113">
        <v>0.36584</v>
      </c>
      <c r="G113">
        <v>0.36</v>
      </c>
      <c r="I113">
        <v>0.35363</v>
      </c>
      <c r="K113">
        <v>0.34160000000000001</v>
      </c>
      <c r="M113">
        <v>0.30925999999999998</v>
      </c>
      <c r="O113">
        <v>0.27916000000000002</v>
      </c>
      <c r="Q113">
        <v>0.24596000000000001</v>
      </c>
      <c r="S113">
        <v>0.21637999999999999</v>
      </c>
      <c r="U113">
        <v>0.15462000000000001</v>
      </c>
    </row>
    <row r="114" spans="2:21" x14ac:dyDescent="0.3">
      <c r="B114">
        <v>0.37186000000000002</v>
      </c>
      <c r="C114">
        <v>6.6</v>
      </c>
      <c r="E114">
        <v>0.36584</v>
      </c>
      <c r="G114">
        <v>0.36</v>
      </c>
      <c r="I114">
        <v>0.3538</v>
      </c>
      <c r="K114">
        <v>0.34142</v>
      </c>
      <c r="M114">
        <v>0.30925999999999998</v>
      </c>
      <c r="O114">
        <v>0.27899000000000002</v>
      </c>
      <c r="Q114">
        <v>0.24612999999999999</v>
      </c>
      <c r="S114">
        <v>0.21637999999999999</v>
      </c>
      <c r="U114">
        <v>0.15497</v>
      </c>
    </row>
    <row r="115" spans="2:21" x14ac:dyDescent="0.3">
      <c r="B115">
        <v>0.37186000000000002</v>
      </c>
      <c r="C115">
        <v>6.65</v>
      </c>
      <c r="E115">
        <v>0.36584</v>
      </c>
      <c r="G115">
        <v>0.35981999999999997</v>
      </c>
      <c r="I115">
        <v>0.3538</v>
      </c>
      <c r="K115">
        <v>0.34125</v>
      </c>
      <c r="M115">
        <v>0.30925999999999998</v>
      </c>
      <c r="O115">
        <v>0.27882000000000001</v>
      </c>
      <c r="Q115">
        <v>0.24612999999999999</v>
      </c>
      <c r="S115">
        <v>0.21621000000000001</v>
      </c>
      <c r="U115">
        <v>0.15479999999999999</v>
      </c>
    </row>
    <row r="116" spans="2:21" x14ac:dyDescent="0.3">
      <c r="B116">
        <v>0.37203999999999998</v>
      </c>
      <c r="C116">
        <v>6.7</v>
      </c>
      <c r="E116">
        <v>0.36601</v>
      </c>
      <c r="G116">
        <v>0.35981999999999997</v>
      </c>
      <c r="I116">
        <v>0.35398000000000002</v>
      </c>
      <c r="K116">
        <v>0.34125</v>
      </c>
      <c r="M116">
        <v>0.30925999999999998</v>
      </c>
      <c r="O116">
        <v>0.27847</v>
      </c>
      <c r="Q116">
        <v>0.24629999999999999</v>
      </c>
      <c r="S116">
        <v>0.21603</v>
      </c>
      <c r="U116">
        <v>0.15479999999999999</v>
      </c>
    </row>
    <row r="117" spans="2:21" x14ac:dyDescent="0.3">
      <c r="B117">
        <v>0.37203999999999998</v>
      </c>
      <c r="C117">
        <v>6.75</v>
      </c>
      <c r="E117">
        <v>0.36619000000000002</v>
      </c>
      <c r="G117">
        <v>0.35981999999999997</v>
      </c>
      <c r="I117">
        <v>0.3538</v>
      </c>
      <c r="K117">
        <v>0.34123999999999999</v>
      </c>
      <c r="M117">
        <v>0.30925999999999998</v>
      </c>
      <c r="O117">
        <v>0.27812999999999999</v>
      </c>
      <c r="Q117">
        <v>0.24648</v>
      </c>
      <c r="S117">
        <v>0.21603</v>
      </c>
      <c r="U117">
        <v>0.15462999999999999</v>
      </c>
    </row>
    <row r="118" spans="2:21" x14ac:dyDescent="0.3">
      <c r="B118">
        <v>0.37203999999999998</v>
      </c>
      <c r="C118">
        <v>6.8</v>
      </c>
      <c r="E118">
        <v>0.36619000000000002</v>
      </c>
      <c r="G118">
        <v>0.35981999999999997</v>
      </c>
      <c r="I118">
        <v>0.35381000000000001</v>
      </c>
      <c r="K118">
        <v>0.34142</v>
      </c>
      <c r="M118">
        <v>0.30925999999999998</v>
      </c>
      <c r="O118">
        <v>0.27778000000000003</v>
      </c>
      <c r="Q118">
        <v>0.24646999999999999</v>
      </c>
      <c r="S118">
        <v>0.21586</v>
      </c>
      <c r="U118">
        <v>0.15462999999999999</v>
      </c>
    </row>
    <row r="119" spans="2:21" x14ac:dyDescent="0.3">
      <c r="B119">
        <v>0.37203999999999998</v>
      </c>
      <c r="C119">
        <v>6.85</v>
      </c>
      <c r="E119">
        <v>0.36602000000000001</v>
      </c>
      <c r="G119">
        <v>0.35981999999999997</v>
      </c>
      <c r="I119">
        <v>0.35363</v>
      </c>
      <c r="K119">
        <v>0.34159</v>
      </c>
      <c r="M119">
        <v>0.30925999999999998</v>
      </c>
      <c r="O119">
        <v>0.27761000000000002</v>
      </c>
      <c r="Q119">
        <v>0.24665000000000001</v>
      </c>
      <c r="S119">
        <v>0.21586</v>
      </c>
      <c r="U119">
        <v>0.15462999999999999</v>
      </c>
    </row>
    <row r="120" spans="2:21" x14ac:dyDescent="0.3">
      <c r="B120">
        <v>0.37203999999999998</v>
      </c>
      <c r="C120">
        <v>6.9</v>
      </c>
      <c r="E120">
        <v>0.36584</v>
      </c>
      <c r="G120">
        <v>0.36</v>
      </c>
      <c r="I120">
        <v>0.35363</v>
      </c>
      <c r="K120">
        <v>0.34176000000000001</v>
      </c>
      <c r="M120">
        <v>0.30925000000000002</v>
      </c>
      <c r="O120">
        <v>0.27761000000000002</v>
      </c>
      <c r="Q120">
        <v>0.24665000000000001</v>
      </c>
      <c r="S120">
        <v>0.21586</v>
      </c>
      <c r="U120">
        <v>0.15462999999999999</v>
      </c>
    </row>
    <row r="121" spans="2:21" x14ac:dyDescent="0.3">
      <c r="B121">
        <v>0.37203999999999998</v>
      </c>
      <c r="C121">
        <v>6.95</v>
      </c>
      <c r="E121">
        <v>0.36584</v>
      </c>
      <c r="G121">
        <v>0.36</v>
      </c>
      <c r="I121">
        <v>0.35363</v>
      </c>
      <c r="K121">
        <v>0.34177000000000002</v>
      </c>
      <c r="M121">
        <v>0.30942999999999998</v>
      </c>
      <c r="O121">
        <v>0.27761000000000002</v>
      </c>
      <c r="Q121">
        <v>0.24665000000000001</v>
      </c>
      <c r="S121">
        <v>0.21586</v>
      </c>
      <c r="U121">
        <v>0.15479999999999999</v>
      </c>
    </row>
    <row r="122" spans="2:21" x14ac:dyDescent="0.3">
      <c r="B122">
        <v>0.37186000000000002</v>
      </c>
      <c r="C122">
        <v>7</v>
      </c>
      <c r="E122">
        <v>0.36584</v>
      </c>
      <c r="G122">
        <v>0.36</v>
      </c>
      <c r="I122">
        <v>0.3538</v>
      </c>
      <c r="K122">
        <v>0.34160000000000001</v>
      </c>
      <c r="M122">
        <v>0.30942999999999998</v>
      </c>
      <c r="O122">
        <v>0.27778000000000003</v>
      </c>
      <c r="Q122">
        <v>0.24648</v>
      </c>
      <c r="S122">
        <v>0.21586</v>
      </c>
      <c r="U122">
        <v>0.15479999999999999</v>
      </c>
    </row>
    <row r="123" spans="2:21" x14ac:dyDescent="0.3">
      <c r="B123">
        <v>0.37203999999999998</v>
      </c>
      <c r="C123">
        <v>7.05</v>
      </c>
      <c r="E123">
        <v>0.36602000000000001</v>
      </c>
      <c r="G123">
        <v>0.35982999999999998</v>
      </c>
      <c r="I123">
        <v>0.3538</v>
      </c>
      <c r="K123">
        <v>0.34142</v>
      </c>
      <c r="M123">
        <v>0.30942999999999998</v>
      </c>
      <c r="O123">
        <v>0.27794999999999997</v>
      </c>
      <c r="Q123">
        <v>0.24629999999999999</v>
      </c>
      <c r="S123">
        <v>0.21603</v>
      </c>
      <c r="U123">
        <v>0.15497</v>
      </c>
    </row>
    <row r="124" spans="2:21" x14ac:dyDescent="0.3">
      <c r="B124">
        <v>0.37203999999999998</v>
      </c>
      <c r="C124">
        <v>7.1</v>
      </c>
      <c r="E124">
        <v>0.36602000000000001</v>
      </c>
      <c r="G124">
        <v>0.35965000000000003</v>
      </c>
      <c r="I124">
        <v>0.3538</v>
      </c>
      <c r="K124">
        <v>0.34125</v>
      </c>
      <c r="M124">
        <v>0.30942999999999998</v>
      </c>
      <c r="O124">
        <v>0.27811999999999998</v>
      </c>
      <c r="Q124">
        <v>0.24631</v>
      </c>
      <c r="S124">
        <v>0.21603</v>
      </c>
      <c r="U124">
        <v>0.15479999999999999</v>
      </c>
    </row>
    <row r="125" spans="2:21" x14ac:dyDescent="0.3">
      <c r="B125">
        <v>0.37203999999999998</v>
      </c>
      <c r="C125">
        <v>7.15</v>
      </c>
      <c r="E125">
        <v>0.36602000000000001</v>
      </c>
      <c r="G125">
        <v>0.35965000000000003</v>
      </c>
      <c r="I125">
        <v>0.3538</v>
      </c>
      <c r="K125">
        <v>0.34125</v>
      </c>
      <c r="M125">
        <v>0.30925999999999998</v>
      </c>
      <c r="O125">
        <v>0.27862999999999999</v>
      </c>
      <c r="Q125">
        <v>0.24612999999999999</v>
      </c>
      <c r="S125">
        <v>0.21603</v>
      </c>
      <c r="U125">
        <v>0.15462999999999999</v>
      </c>
    </row>
    <row r="126" spans="2:21" x14ac:dyDescent="0.3">
      <c r="B126">
        <v>0.37203999999999998</v>
      </c>
      <c r="C126">
        <v>7.2</v>
      </c>
      <c r="E126">
        <v>0.36602000000000001</v>
      </c>
      <c r="G126">
        <v>0.35965000000000003</v>
      </c>
      <c r="I126">
        <v>0.35381000000000001</v>
      </c>
      <c r="K126">
        <v>0.34125</v>
      </c>
      <c r="M126">
        <v>0.30925999999999998</v>
      </c>
      <c r="O126">
        <v>0.27898000000000001</v>
      </c>
      <c r="Q126">
        <v>0.24612999999999999</v>
      </c>
      <c r="S126">
        <v>0.2162</v>
      </c>
      <c r="U126">
        <v>0.15429000000000001</v>
      </c>
    </row>
    <row r="127" spans="2:21" x14ac:dyDescent="0.3">
      <c r="B127">
        <v>0.37186000000000002</v>
      </c>
      <c r="C127">
        <v>7.25</v>
      </c>
      <c r="E127">
        <v>0.36602000000000001</v>
      </c>
      <c r="G127">
        <v>0.35981999999999997</v>
      </c>
      <c r="I127">
        <v>0.35363</v>
      </c>
      <c r="K127">
        <v>0.34123999999999999</v>
      </c>
      <c r="M127">
        <v>0.30925999999999998</v>
      </c>
      <c r="O127">
        <v>0.27898000000000001</v>
      </c>
      <c r="Q127">
        <v>0.24596000000000001</v>
      </c>
      <c r="S127">
        <v>0.21637999999999999</v>
      </c>
      <c r="U127">
        <v>0.15411</v>
      </c>
    </row>
    <row r="128" spans="2:21" x14ac:dyDescent="0.3">
      <c r="B128">
        <v>0.37186000000000002</v>
      </c>
      <c r="C128">
        <v>7.3</v>
      </c>
      <c r="E128">
        <v>0.36584</v>
      </c>
      <c r="G128">
        <v>0.35981999999999997</v>
      </c>
      <c r="I128">
        <v>0.35363</v>
      </c>
      <c r="K128">
        <v>0.34142</v>
      </c>
      <c r="M128">
        <v>0.30925999999999998</v>
      </c>
      <c r="O128">
        <v>0.27899000000000002</v>
      </c>
      <c r="Q128">
        <v>0.24596000000000001</v>
      </c>
      <c r="S128">
        <v>0.21637999999999999</v>
      </c>
      <c r="U128">
        <v>0.15393999999999999</v>
      </c>
    </row>
    <row r="129" spans="2:21" x14ac:dyDescent="0.3">
      <c r="B129">
        <v>0.37186000000000002</v>
      </c>
      <c r="C129">
        <v>7.35</v>
      </c>
      <c r="E129">
        <v>0.36584</v>
      </c>
      <c r="G129">
        <v>0.36</v>
      </c>
      <c r="I129">
        <v>0.35363</v>
      </c>
      <c r="K129">
        <v>0.34159</v>
      </c>
      <c r="M129">
        <v>0.30925999999999998</v>
      </c>
      <c r="O129">
        <v>0.27882000000000001</v>
      </c>
      <c r="Q129">
        <v>0.24612999999999999</v>
      </c>
      <c r="S129">
        <v>0.21637999999999999</v>
      </c>
      <c r="U129">
        <v>0.15393999999999999</v>
      </c>
    </row>
    <row r="130" spans="2:21" x14ac:dyDescent="0.3">
      <c r="B130">
        <v>0.37203999999999998</v>
      </c>
      <c r="C130">
        <v>7.4</v>
      </c>
      <c r="E130">
        <v>0.36584</v>
      </c>
      <c r="G130">
        <v>0.35981999999999997</v>
      </c>
      <c r="I130">
        <v>0.35363</v>
      </c>
      <c r="K130">
        <v>0.34177000000000002</v>
      </c>
      <c r="M130">
        <v>0.30925999999999998</v>
      </c>
      <c r="O130">
        <v>0.27847</v>
      </c>
      <c r="Q130">
        <v>0.24612999999999999</v>
      </c>
      <c r="S130">
        <v>0.21637999999999999</v>
      </c>
      <c r="U130">
        <v>0.15428</v>
      </c>
    </row>
    <row r="131" spans="2:21" x14ac:dyDescent="0.3">
      <c r="B131">
        <v>0.37203999999999998</v>
      </c>
      <c r="C131">
        <v>7.45</v>
      </c>
      <c r="E131">
        <v>0.36602000000000001</v>
      </c>
      <c r="G131">
        <v>0.35981999999999997</v>
      </c>
      <c r="I131">
        <v>0.35363</v>
      </c>
      <c r="K131">
        <v>0.34159</v>
      </c>
      <c r="M131">
        <v>0.30925999999999998</v>
      </c>
      <c r="O131">
        <v>0.27812999999999999</v>
      </c>
      <c r="Q131">
        <v>0.24629999999999999</v>
      </c>
      <c r="S131">
        <v>0.21637999999999999</v>
      </c>
      <c r="U131">
        <v>0.15462999999999999</v>
      </c>
    </row>
    <row r="132" spans="2:21" x14ac:dyDescent="0.3">
      <c r="B132">
        <v>0.37203999999999998</v>
      </c>
      <c r="C132">
        <v>7.5</v>
      </c>
      <c r="E132">
        <v>0.36602000000000001</v>
      </c>
      <c r="G132">
        <v>0.35982999999999998</v>
      </c>
      <c r="I132">
        <v>0.3538</v>
      </c>
      <c r="K132">
        <v>0.34160000000000001</v>
      </c>
      <c r="M132">
        <v>0.30925000000000002</v>
      </c>
      <c r="O132">
        <v>0.27794999999999997</v>
      </c>
      <c r="Q132">
        <v>0.24629999999999999</v>
      </c>
      <c r="S132">
        <v>0.21637999999999999</v>
      </c>
      <c r="U132">
        <v>0.15479999999999999</v>
      </c>
    </row>
    <row r="133" spans="2:21" x14ac:dyDescent="0.3">
      <c r="B133">
        <v>0.37203999999999998</v>
      </c>
      <c r="C133">
        <v>7.55</v>
      </c>
      <c r="E133">
        <v>0.36602000000000001</v>
      </c>
      <c r="G133">
        <v>0.35965000000000003</v>
      </c>
      <c r="I133">
        <v>0.3538</v>
      </c>
      <c r="K133">
        <v>0.34142</v>
      </c>
      <c r="M133">
        <v>0.30942999999999998</v>
      </c>
      <c r="O133">
        <v>0.27778000000000003</v>
      </c>
      <c r="Q133">
        <v>0.24648</v>
      </c>
      <c r="S133">
        <v>0.2162</v>
      </c>
      <c r="U133">
        <v>0.15497</v>
      </c>
    </row>
    <row r="134" spans="2:21" x14ac:dyDescent="0.3">
      <c r="B134">
        <v>0.37186000000000002</v>
      </c>
      <c r="C134">
        <v>7.6</v>
      </c>
      <c r="E134">
        <v>0.36602000000000001</v>
      </c>
      <c r="G134">
        <v>0.35965000000000003</v>
      </c>
      <c r="I134">
        <v>0.35381000000000001</v>
      </c>
      <c r="K134">
        <v>0.34125</v>
      </c>
      <c r="M134">
        <v>0.30942999999999998</v>
      </c>
      <c r="O134">
        <v>0.27761000000000002</v>
      </c>
      <c r="Q134">
        <v>0.24646999999999999</v>
      </c>
      <c r="S134">
        <v>0.21621000000000001</v>
      </c>
      <c r="U134">
        <v>0.15479999999999999</v>
      </c>
    </row>
    <row r="135" spans="2:21" x14ac:dyDescent="0.3">
      <c r="B135">
        <v>0.37186000000000002</v>
      </c>
      <c r="C135">
        <v>7.65</v>
      </c>
      <c r="E135">
        <v>0.36584</v>
      </c>
      <c r="G135">
        <v>0.35981999999999997</v>
      </c>
      <c r="I135">
        <v>0.35363</v>
      </c>
      <c r="K135">
        <v>0.34125</v>
      </c>
      <c r="M135">
        <v>0.30942999999999998</v>
      </c>
      <c r="O135">
        <v>0.27778000000000003</v>
      </c>
      <c r="Q135">
        <v>0.24665000000000001</v>
      </c>
      <c r="S135">
        <v>0.21603</v>
      </c>
      <c r="U135">
        <v>0.15479999999999999</v>
      </c>
    </row>
    <row r="136" spans="2:21" x14ac:dyDescent="0.3">
      <c r="B136">
        <v>0.37186000000000002</v>
      </c>
      <c r="C136">
        <v>7.7</v>
      </c>
      <c r="E136">
        <v>0.36584</v>
      </c>
      <c r="G136">
        <v>0.35981999999999997</v>
      </c>
      <c r="I136">
        <v>0.35363</v>
      </c>
      <c r="K136">
        <v>0.34123999999999999</v>
      </c>
      <c r="M136">
        <v>0.30942999999999998</v>
      </c>
      <c r="O136">
        <v>0.27778000000000003</v>
      </c>
      <c r="Q136">
        <v>0.24665000000000001</v>
      </c>
      <c r="S136">
        <v>0.21603</v>
      </c>
      <c r="U136">
        <v>0.15462999999999999</v>
      </c>
    </row>
    <row r="137" spans="2:21" x14ac:dyDescent="0.3">
      <c r="B137">
        <v>0.37186000000000002</v>
      </c>
      <c r="C137">
        <v>7.75</v>
      </c>
      <c r="E137">
        <v>0.36584</v>
      </c>
      <c r="G137">
        <v>0.36</v>
      </c>
      <c r="I137">
        <v>0.35363</v>
      </c>
      <c r="K137">
        <v>0.34142</v>
      </c>
      <c r="M137">
        <v>0.30925999999999998</v>
      </c>
      <c r="O137">
        <v>0.27794999999999997</v>
      </c>
      <c r="Q137">
        <v>0.24665000000000001</v>
      </c>
      <c r="S137">
        <v>0.21586</v>
      </c>
      <c r="U137">
        <v>0.15462999999999999</v>
      </c>
    </row>
    <row r="138" spans="2:21" x14ac:dyDescent="0.3">
      <c r="B138">
        <v>0.37186000000000002</v>
      </c>
      <c r="C138">
        <v>7.8</v>
      </c>
      <c r="E138">
        <v>0.36602000000000001</v>
      </c>
      <c r="G138">
        <v>0.36</v>
      </c>
      <c r="I138">
        <v>0.35363</v>
      </c>
      <c r="K138">
        <v>0.34159</v>
      </c>
      <c r="M138">
        <v>0.30925999999999998</v>
      </c>
      <c r="O138">
        <v>0.27828999999999998</v>
      </c>
      <c r="Q138">
        <v>0.24648</v>
      </c>
      <c r="S138">
        <v>0.21586</v>
      </c>
      <c r="U138">
        <v>0.15462999999999999</v>
      </c>
    </row>
    <row r="139" spans="2:21" x14ac:dyDescent="0.3">
      <c r="B139">
        <v>0.37186000000000002</v>
      </c>
      <c r="C139">
        <v>7.85</v>
      </c>
      <c r="E139">
        <v>0.36602000000000001</v>
      </c>
      <c r="G139">
        <v>0.35981999999999997</v>
      </c>
      <c r="I139">
        <v>0.35363</v>
      </c>
      <c r="K139">
        <v>0.34176000000000001</v>
      </c>
      <c r="M139">
        <v>0.30925000000000002</v>
      </c>
      <c r="O139">
        <v>0.27881</v>
      </c>
      <c r="Q139">
        <v>0.24648</v>
      </c>
      <c r="S139">
        <v>0.21586</v>
      </c>
      <c r="U139">
        <v>0.15462999999999999</v>
      </c>
    </row>
    <row r="140" spans="2:21" x14ac:dyDescent="0.3">
      <c r="B140">
        <v>0.37186000000000002</v>
      </c>
      <c r="C140">
        <v>7.9</v>
      </c>
      <c r="E140">
        <v>0.36602000000000001</v>
      </c>
      <c r="G140">
        <v>0.35982999999999998</v>
      </c>
      <c r="I140">
        <v>0.3538</v>
      </c>
      <c r="K140">
        <v>0.34176000000000001</v>
      </c>
      <c r="M140">
        <v>0.30942999999999998</v>
      </c>
      <c r="O140">
        <v>0.27898000000000001</v>
      </c>
      <c r="Q140">
        <v>0.24631</v>
      </c>
      <c r="S140">
        <v>0.21603</v>
      </c>
      <c r="U140">
        <v>0.15462999999999999</v>
      </c>
    </row>
    <row r="141" spans="2:21" x14ac:dyDescent="0.3">
      <c r="B141">
        <v>0.37186000000000002</v>
      </c>
      <c r="C141">
        <v>7.95</v>
      </c>
      <c r="E141">
        <v>0.36602000000000001</v>
      </c>
      <c r="G141">
        <v>0.35965000000000003</v>
      </c>
      <c r="I141">
        <v>0.3538</v>
      </c>
      <c r="K141">
        <v>0.34177000000000002</v>
      </c>
      <c r="M141">
        <v>0.30925999999999998</v>
      </c>
      <c r="O141">
        <v>0.27916000000000002</v>
      </c>
      <c r="Q141">
        <v>0.24612999999999999</v>
      </c>
      <c r="S141">
        <v>0.21603</v>
      </c>
      <c r="U141">
        <v>0.15479999999999999</v>
      </c>
    </row>
    <row r="142" spans="2:21" x14ac:dyDescent="0.3">
      <c r="B142">
        <v>0.37186000000000002</v>
      </c>
      <c r="C142">
        <v>8</v>
      </c>
      <c r="E142">
        <v>0.36602000000000001</v>
      </c>
      <c r="G142">
        <v>0.35965000000000003</v>
      </c>
      <c r="I142">
        <v>0.3538</v>
      </c>
      <c r="K142">
        <v>0.34160000000000001</v>
      </c>
      <c r="M142">
        <v>0.30925999999999998</v>
      </c>
      <c r="O142">
        <v>0.27916000000000002</v>
      </c>
      <c r="Q142">
        <v>0.24612999999999999</v>
      </c>
      <c r="S142">
        <v>0.2162</v>
      </c>
      <c r="U142">
        <v>0.15479999999999999</v>
      </c>
    </row>
    <row r="143" spans="2:21" x14ac:dyDescent="0.3">
      <c r="B143">
        <v>0.37186000000000002</v>
      </c>
      <c r="C143">
        <v>8.0500000000000007</v>
      </c>
      <c r="E143">
        <v>0.36584</v>
      </c>
      <c r="G143">
        <v>0.35981999999999997</v>
      </c>
      <c r="I143">
        <v>0.35381000000000001</v>
      </c>
      <c r="K143">
        <v>0.34142</v>
      </c>
      <c r="M143">
        <v>0.30925999999999998</v>
      </c>
      <c r="O143">
        <v>0.27899000000000002</v>
      </c>
      <c r="Q143">
        <v>0.24612999999999999</v>
      </c>
      <c r="S143">
        <v>0.2162</v>
      </c>
      <c r="U143">
        <v>0.15497</v>
      </c>
    </row>
    <row r="144" spans="2:21" x14ac:dyDescent="0.3">
      <c r="B144">
        <v>0.37186000000000002</v>
      </c>
      <c r="C144">
        <v>8.1</v>
      </c>
      <c r="E144">
        <v>0.36584</v>
      </c>
      <c r="G144">
        <v>0.35981999999999997</v>
      </c>
      <c r="I144">
        <v>0.35363</v>
      </c>
      <c r="K144">
        <v>0.34125</v>
      </c>
      <c r="M144">
        <v>0.30925000000000002</v>
      </c>
      <c r="O144">
        <v>0.27847</v>
      </c>
      <c r="Q144">
        <v>0.24596000000000001</v>
      </c>
      <c r="S144">
        <v>0.2162</v>
      </c>
      <c r="U144">
        <v>0.15498000000000001</v>
      </c>
    </row>
    <row r="145" spans="2:21" x14ac:dyDescent="0.3">
      <c r="B145">
        <v>0.37203999999999998</v>
      </c>
      <c r="C145">
        <v>8.15</v>
      </c>
      <c r="E145">
        <v>0.36584</v>
      </c>
      <c r="G145">
        <v>0.36</v>
      </c>
      <c r="I145">
        <v>0.35363</v>
      </c>
      <c r="K145">
        <v>0.34125</v>
      </c>
      <c r="M145">
        <v>0.30942999999999998</v>
      </c>
      <c r="O145">
        <v>0.27812999999999999</v>
      </c>
      <c r="Q145">
        <v>0.24612999999999999</v>
      </c>
      <c r="S145">
        <v>0.21637999999999999</v>
      </c>
      <c r="U145">
        <v>0.15462999999999999</v>
      </c>
    </row>
    <row r="146" spans="2:21" x14ac:dyDescent="0.3">
      <c r="B146">
        <v>0.37186000000000002</v>
      </c>
      <c r="C146">
        <v>8.1999999999999993</v>
      </c>
      <c r="E146">
        <v>0.36601</v>
      </c>
      <c r="G146">
        <v>0.35981999999999997</v>
      </c>
      <c r="I146">
        <v>0.35363</v>
      </c>
      <c r="K146">
        <v>0.34123999999999999</v>
      </c>
      <c r="M146">
        <v>0.30942999999999998</v>
      </c>
      <c r="O146">
        <v>0.27794999999999997</v>
      </c>
      <c r="Q146">
        <v>0.24612999999999999</v>
      </c>
      <c r="S146">
        <v>0.21637999999999999</v>
      </c>
      <c r="U146">
        <v>0.15445999999999999</v>
      </c>
    </row>
    <row r="147" spans="2:21" x14ac:dyDescent="0.3">
      <c r="B147">
        <v>0.37186000000000002</v>
      </c>
      <c r="C147">
        <v>8.25</v>
      </c>
      <c r="E147">
        <v>0.36619000000000002</v>
      </c>
      <c r="G147">
        <v>0.35981999999999997</v>
      </c>
      <c r="I147">
        <v>0.35363</v>
      </c>
      <c r="K147">
        <v>0.34142</v>
      </c>
      <c r="M147">
        <v>0.30942999999999998</v>
      </c>
      <c r="O147">
        <v>0.27778000000000003</v>
      </c>
      <c r="Q147">
        <v>0.24629999999999999</v>
      </c>
      <c r="S147">
        <v>0.21637999999999999</v>
      </c>
      <c r="U147">
        <v>0.15411</v>
      </c>
    </row>
    <row r="148" spans="2:21" x14ac:dyDescent="0.3">
      <c r="B148">
        <v>0.37186000000000002</v>
      </c>
      <c r="C148">
        <v>8.3000000000000007</v>
      </c>
      <c r="E148">
        <v>0.36619000000000002</v>
      </c>
      <c r="G148">
        <v>0.35982999999999998</v>
      </c>
      <c r="I148">
        <v>0.35363</v>
      </c>
      <c r="K148">
        <v>0.34159</v>
      </c>
      <c r="M148">
        <v>0.30942999999999998</v>
      </c>
      <c r="O148">
        <v>0.27778000000000003</v>
      </c>
      <c r="Q148">
        <v>0.24648</v>
      </c>
      <c r="S148">
        <v>0.2162</v>
      </c>
      <c r="U148">
        <v>0.15393999999999999</v>
      </c>
    </row>
    <row r="149" spans="2:21" x14ac:dyDescent="0.3">
      <c r="B149">
        <v>0.37186000000000002</v>
      </c>
      <c r="C149">
        <v>8.35</v>
      </c>
      <c r="E149">
        <v>0.36602000000000001</v>
      </c>
      <c r="G149">
        <v>0.35965000000000003</v>
      </c>
      <c r="I149">
        <v>0.3538</v>
      </c>
      <c r="K149">
        <v>0.34176000000000001</v>
      </c>
      <c r="M149">
        <v>0.30925999999999998</v>
      </c>
      <c r="O149">
        <v>0.27778000000000003</v>
      </c>
      <c r="Q149">
        <v>0.24646999999999999</v>
      </c>
      <c r="S149">
        <v>0.2162</v>
      </c>
      <c r="U149">
        <v>0.15393999999999999</v>
      </c>
    </row>
    <row r="150" spans="2:21" x14ac:dyDescent="0.3">
      <c r="B150">
        <v>0.37186000000000002</v>
      </c>
      <c r="C150">
        <v>8.4</v>
      </c>
      <c r="E150">
        <v>0.36584</v>
      </c>
      <c r="G150">
        <v>0.35965000000000003</v>
      </c>
      <c r="I150">
        <v>0.3538</v>
      </c>
      <c r="K150">
        <v>0.34177000000000002</v>
      </c>
      <c r="M150">
        <v>0.30925999999999998</v>
      </c>
      <c r="O150">
        <v>0.27777000000000002</v>
      </c>
      <c r="Q150">
        <v>0.24665000000000001</v>
      </c>
      <c r="S150">
        <v>0.21621000000000001</v>
      </c>
      <c r="U150">
        <v>0.15428</v>
      </c>
    </row>
    <row r="151" spans="2:21" x14ac:dyDescent="0.3">
      <c r="B151">
        <v>0.37186000000000002</v>
      </c>
      <c r="C151">
        <v>8.4499999999999993</v>
      </c>
      <c r="E151">
        <v>0.36584</v>
      </c>
      <c r="G151">
        <v>0.35981999999999997</v>
      </c>
      <c r="I151">
        <v>0.3538</v>
      </c>
      <c r="K151">
        <v>0.34160000000000001</v>
      </c>
      <c r="M151">
        <v>0.30925999999999998</v>
      </c>
      <c r="O151">
        <v>0.27811999999999998</v>
      </c>
      <c r="Q151">
        <v>0.24665000000000001</v>
      </c>
      <c r="S151">
        <v>0.21603</v>
      </c>
      <c r="U151">
        <v>0.15462999999999999</v>
      </c>
    </row>
    <row r="152" spans="2:21" x14ac:dyDescent="0.3">
      <c r="B152">
        <v>0.37186000000000002</v>
      </c>
      <c r="C152">
        <v>8.5</v>
      </c>
      <c r="E152">
        <v>0.36584</v>
      </c>
      <c r="G152">
        <v>0.35981999999999997</v>
      </c>
      <c r="I152">
        <v>0.35381000000000001</v>
      </c>
      <c r="K152">
        <v>0.34142</v>
      </c>
      <c r="M152">
        <v>0.30925999999999998</v>
      </c>
      <c r="O152">
        <v>0.27828999999999998</v>
      </c>
      <c r="Q152">
        <v>0.24665000000000001</v>
      </c>
      <c r="S152">
        <v>0.21603</v>
      </c>
      <c r="U152">
        <v>0.15479999999999999</v>
      </c>
    </row>
    <row r="153" spans="2:21" x14ac:dyDescent="0.3">
      <c r="B153">
        <v>0.37186000000000002</v>
      </c>
      <c r="C153">
        <v>8.5500000000000007</v>
      </c>
      <c r="E153">
        <v>0.36584</v>
      </c>
      <c r="G153">
        <v>0.36</v>
      </c>
      <c r="I153">
        <v>0.35363</v>
      </c>
      <c r="K153">
        <v>0.34125</v>
      </c>
      <c r="M153">
        <v>0.30925999999999998</v>
      </c>
      <c r="O153">
        <v>0.27881</v>
      </c>
      <c r="Q153">
        <v>0.24648</v>
      </c>
      <c r="S153">
        <v>0.21603</v>
      </c>
      <c r="U153">
        <v>0.15497</v>
      </c>
    </row>
    <row r="154" spans="2:21" x14ac:dyDescent="0.3">
      <c r="B154">
        <v>0.37186999999999998</v>
      </c>
      <c r="C154">
        <v>8.6</v>
      </c>
      <c r="E154">
        <v>0.36602000000000001</v>
      </c>
      <c r="G154">
        <v>0.36</v>
      </c>
      <c r="I154">
        <v>0.35363</v>
      </c>
      <c r="K154">
        <v>0.34125</v>
      </c>
      <c r="M154">
        <v>0.30925999999999998</v>
      </c>
      <c r="O154">
        <v>0.27898000000000001</v>
      </c>
      <c r="Q154">
        <v>0.24648</v>
      </c>
      <c r="S154">
        <v>0.21586</v>
      </c>
      <c r="U154">
        <v>0.15479999999999999</v>
      </c>
    </row>
    <row r="155" spans="2:21" x14ac:dyDescent="0.3">
      <c r="B155">
        <v>0.37169000000000002</v>
      </c>
      <c r="C155">
        <v>8.65</v>
      </c>
      <c r="E155">
        <v>0.36602000000000001</v>
      </c>
      <c r="G155">
        <v>0.35981999999999997</v>
      </c>
      <c r="I155">
        <v>0.35363</v>
      </c>
      <c r="K155">
        <v>0.34125</v>
      </c>
      <c r="M155">
        <v>0.30925000000000002</v>
      </c>
      <c r="O155">
        <v>0.27916000000000002</v>
      </c>
      <c r="Q155">
        <v>0.24629999999999999</v>
      </c>
      <c r="S155">
        <v>0.21586</v>
      </c>
      <c r="U155">
        <v>0.15479999999999999</v>
      </c>
    </row>
    <row r="156" spans="2:21" x14ac:dyDescent="0.3">
      <c r="B156">
        <v>0.37169000000000002</v>
      </c>
      <c r="C156">
        <v>8.6999999999999993</v>
      </c>
      <c r="E156">
        <v>0.36602000000000001</v>
      </c>
      <c r="G156">
        <v>0.35981999999999997</v>
      </c>
      <c r="I156">
        <v>0.35363</v>
      </c>
      <c r="K156">
        <v>0.34123999999999999</v>
      </c>
      <c r="M156">
        <v>0.30942999999999998</v>
      </c>
      <c r="O156">
        <v>0.27916000000000002</v>
      </c>
      <c r="Q156">
        <v>0.24631</v>
      </c>
      <c r="S156">
        <v>0.21603</v>
      </c>
      <c r="U156">
        <v>0.15462999999999999</v>
      </c>
    </row>
    <row r="157" spans="2:21" x14ac:dyDescent="0.3">
      <c r="B157">
        <v>0.37186000000000002</v>
      </c>
      <c r="C157">
        <v>8.75</v>
      </c>
      <c r="E157">
        <v>0.36584</v>
      </c>
      <c r="G157">
        <v>0.35981999999999997</v>
      </c>
      <c r="I157">
        <v>0.3538</v>
      </c>
      <c r="K157">
        <v>0.34142</v>
      </c>
      <c r="M157">
        <v>0.30942999999999998</v>
      </c>
      <c r="O157">
        <v>0.27899000000000002</v>
      </c>
      <c r="Q157">
        <v>0.24612999999999999</v>
      </c>
      <c r="S157">
        <v>0.21603</v>
      </c>
      <c r="U157">
        <v>0.15462999999999999</v>
      </c>
    </row>
    <row r="158" spans="2:21" x14ac:dyDescent="0.3">
      <c r="B158">
        <v>0.37186000000000002</v>
      </c>
      <c r="C158">
        <v>8.8000000000000007</v>
      </c>
      <c r="E158">
        <v>0.36584</v>
      </c>
      <c r="G158">
        <v>0.35981999999999997</v>
      </c>
      <c r="I158">
        <v>0.3538</v>
      </c>
      <c r="K158">
        <v>0.34159</v>
      </c>
      <c r="M158">
        <v>0.30942999999999998</v>
      </c>
      <c r="O158">
        <v>0.27847</v>
      </c>
      <c r="Q158">
        <v>0.24612999999999999</v>
      </c>
      <c r="S158">
        <v>0.2162</v>
      </c>
      <c r="U158">
        <v>0.15462999999999999</v>
      </c>
    </row>
    <row r="159" spans="2:21" x14ac:dyDescent="0.3">
      <c r="B159">
        <v>0.37186000000000002</v>
      </c>
      <c r="C159">
        <v>8.85</v>
      </c>
      <c r="E159">
        <v>0.36584</v>
      </c>
      <c r="G159">
        <v>0.35981999999999997</v>
      </c>
      <c r="I159">
        <v>0.35398000000000002</v>
      </c>
      <c r="K159">
        <v>0.34176000000000001</v>
      </c>
      <c r="M159">
        <v>0.30942999999999998</v>
      </c>
      <c r="O159">
        <v>0.27812999999999999</v>
      </c>
      <c r="Q159">
        <v>0.24612999999999999</v>
      </c>
      <c r="S159">
        <v>0.2162</v>
      </c>
      <c r="U159">
        <v>0.15462999999999999</v>
      </c>
    </row>
    <row r="160" spans="2:21" x14ac:dyDescent="0.3">
      <c r="B160">
        <v>0.37186000000000002</v>
      </c>
      <c r="C160">
        <v>8.9</v>
      </c>
      <c r="E160">
        <v>0.36584</v>
      </c>
      <c r="G160">
        <v>0.36</v>
      </c>
      <c r="I160">
        <v>0.3538</v>
      </c>
      <c r="K160">
        <v>0.34177000000000002</v>
      </c>
      <c r="M160">
        <v>0.30942999999999998</v>
      </c>
      <c r="O160">
        <v>0.27794999999999997</v>
      </c>
      <c r="Q160">
        <v>0.24612999999999999</v>
      </c>
      <c r="S160">
        <v>0.21637999999999999</v>
      </c>
      <c r="U160">
        <v>0.15479999999999999</v>
      </c>
    </row>
    <row r="161" spans="2:21" x14ac:dyDescent="0.3">
      <c r="B161">
        <v>0.37186000000000002</v>
      </c>
      <c r="C161">
        <v>8.9499999999999993</v>
      </c>
      <c r="E161">
        <v>0.36602000000000001</v>
      </c>
      <c r="G161">
        <v>0.36</v>
      </c>
      <c r="I161">
        <v>0.35381000000000001</v>
      </c>
      <c r="K161">
        <v>0.34160000000000001</v>
      </c>
      <c r="M161">
        <v>0.30925999999999998</v>
      </c>
      <c r="O161">
        <v>0.27778000000000003</v>
      </c>
      <c r="Q161">
        <v>0.24612999999999999</v>
      </c>
      <c r="S161">
        <v>0.21637999999999999</v>
      </c>
      <c r="U161">
        <v>0.15479999999999999</v>
      </c>
    </row>
    <row r="162" spans="2:21" x14ac:dyDescent="0.3">
      <c r="B162">
        <v>0.37186000000000002</v>
      </c>
      <c r="C162">
        <v>9</v>
      </c>
      <c r="E162">
        <v>0.36602000000000001</v>
      </c>
      <c r="G162">
        <v>0.36</v>
      </c>
      <c r="I162">
        <v>0.35363</v>
      </c>
      <c r="K162">
        <v>0.34142</v>
      </c>
      <c r="M162">
        <v>0.30925999999999998</v>
      </c>
      <c r="O162">
        <v>0.27778000000000003</v>
      </c>
      <c r="Q162">
        <v>0.24629999999999999</v>
      </c>
      <c r="S162">
        <v>0.21637999999999999</v>
      </c>
      <c r="U162">
        <v>0.15497</v>
      </c>
    </row>
    <row r="163" spans="2:21" x14ac:dyDescent="0.3">
      <c r="B163">
        <v>0.37186000000000002</v>
      </c>
      <c r="C163">
        <v>9.0500000000000007</v>
      </c>
      <c r="E163">
        <v>0.36602000000000001</v>
      </c>
      <c r="G163">
        <v>0.35981999999999997</v>
      </c>
      <c r="I163">
        <v>0.35363</v>
      </c>
      <c r="K163">
        <v>0.34125</v>
      </c>
      <c r="M163">
        <v>0.30925999999999998</v>
      </c>
      <c r="O163">
        <v>0.27778000000000003</v>
      </c>
      <c r="Q163">
        <v>0.24629999999999999</v>
      </c>
      <c r="S163">
        <v>0.21637999999999999</v>
      </c>
      <c r="U163">
        <v>0.15479999999999999</v>
      </c>
    </row>
    <row r="164" spans="2:21" x14ac:dyDescent="0.3">
      <c r="B164">
        <v>0.37186000000000002</v>
      </c>
      <c r="C164">
        <v>9.1</v>
      </c>
      <c r="E164">
        <v>0.36602000000000001</v>
      </c>
      <c r="G164">
        <v>0.35982999999999998</v>
      </c>
      <c r="I164">
        <v>0.35363</v>
      </c>
      <c r="K164">
        <v>0.34125</v>
      </c>
      <c r="M164">
        <v>0.30925999999999998</v>
      </c>
      <c r="O164">
        <v>0.27777000000000002</v>
      </c>
      <c r="Q164">
        <v>0.24648</v>
      </c>
      <c r="S164">
        <v>0.21637999999999999</v>
      </c>
      <c r="U164">
        <v>0.15462999999999999</v>
      </c>
    </row>
    <row r="165" spans="2:21" x14ac:dyDescent="0.3">
      <c r="G165">
        <v>0.35965000000000003</v>
      </c>
      <c r="I165">
        <v>0.35363</v>
      </c>
      <c r="K165">
        <v>0.34123999999999999</v>
      </c>
      <c r="M165">
        <v>0.30925999999999998</v>
      </c>
      <c r="O165">
        <v>0.27811999999999998</v>
      </c>
      <c r="Q165">
        <v>0.24646999999999999</v>
      </c>
      <c r="S165">
        <v>0.21637999999999999</v>
      </c>
      <c r="U165">
        <v>0.15445999999999999</v>
      </c>
    </row>
    <row r="166" spans="2:21" x14ac:dyDescent="0.3">
      <c r="K166">
        <v>0.34142</v>
      </c>
      <c r="M166">
        <v>0.30925999999999998</v>
      </c>
      <c r="O166">
        <v>0.27828999999999998</v>
      </c>
      <c r="Q166">
        <v>0.24665000000000001</v>
      </c>
      <c r="S166">
        <v>0.2162</v>
      </c>
      <c r="U166">
        <v>0.15428</v>
      </c>
    </row>
    <row r="167" spans="2:21" x14ac:dyDescent="0.3">
      <c r="M167">
        <v>0.30925000000000002</v>
      </c>
      <c r="O167">
        <v>0.27881</v>
      </c>
      <c r="Q167">
        <v>0.24665000000000001</v>
      </c>
      <c r="S167">
        <v>0.21621000000000001</v>
      </c>
      <c r="U167">
        <v>0.15428</v>
      </c>
    </row>
    <row r="168" spans="2:21" x14ac:dyDescent="0.3">
      <c r="M168">
        <v>0.30942999999999998</v>
      </c>
      <c r="O168">
        <v>0.27898000000000001</v>
      </c>
      <c r="Q168">
        <v>0.24665000000000001</v>
      </c>
      <c r="S168">
        <v>0.21603</v>
      </c>
      <c r="U168">
        <v>0.15428</v>
      </c>
    </row>
    <row r="169" spans="2:21" x14ac:dyDescent="0.3">
      <c r="M169">
        <v>0.30942999999999998</v>
      </c>
      <c r="O169">
        <v>0.27898000000000001</v>
      </c>
      <c r="Q169">
        <v>0.24648</v>
      </c>
      <c r="S169">
        <v>0.21586</v>
      </c>
      <c r="U169">
        <v>0.15445</v>
      </c>
    </row>
    <row r="170" spans="2:21" x14ac:dyDescent="0.3">
      <c r="M170">
        <v>0.30942999999999998</v>
      </c>
      <c r="O170">
        <v>0.27899000000000002</v>
      </c>
      <c r="Q170">
        <v>0.24648</v>
      </c>
      <c r="S170">
        <v>0.21586</v>
      </c>
      <c r="U170">
        <v>0.15462999999999999</v>
      </c>
    </row>
    <row r="171" spans="2:21" x14ac:dyDescent="0.3">
      <c r="M171">
        <v>0.30942999999999998</v>
      </c>
      <c r="O171">
        <v>0.27865000000000001</v>
      </c>
      <c r="Q171">
        <v>0.24631</v>
      </c>
      <c r="S171">
        <v>0.21586</v>
      </c>
      <c r="U171">
        <v>0.15479999999999999</v>
      </c>
    </row>
    <row r="172" spans="2:21" x14ac:dyDescent="0.3">
      <c r="M172">
        <v>0.30942999999999998</v>
      </c>
      <c r="O172">
        <v>0.27829999999999999</v>
      </c>
      <c r="Q172">
        <v>0.24612999999999999</v>
      </c>
      <c r="S172">
        <v>0.21586</v>
      </c>
      <c r="U172">
        <v>0.15497</v>
      </c>
    </row>
    <row r="173" spans="2:21" x14ac:dyDescent="0.3">
      <c r="M173">
        <v>0.30925999999999998</v>
      </c>
      <c r="O173">
        <v>0.27794999999999997</v>
      </c>
      <c r="Q173">
        <v>0.24612999999999999</v>
      </c>
      <c r="S173">
        <v>0.21586</v>
      </c>
      <c r="U173">
        <v>0.15479999999999999</v>
      </c>
    </row>
    <row r="174" spans="2:21" x14ac:dyDescent="0.3">
      <c r="M174">
        <v>0.30925999999999998</v>
      </c>
      <c r="O174">
        <v>0.27778000000000003</v>
      </c>
      <c r="Q174">
        <v>0.24612999999999999</v>
      </c>
      <c r="S174">
        <v>0.21603</v>
      </c>
      <c r="U174">
        <v>0.15479999999999999</v>
      </c>
    </row>
    <row r="175" spans="2:21" x14ac:dyDescent="0.3">
      <c r="M175">
        <v>0.30925999999999998</v>
      </c>
      <c r="O175">
        <v>0.27761000000000002</v>
      </c>
      <c r="Q175">
        <v>0.24612999999999999</v>
      </c>
      <c r="S175">
        <v>0.21603</v>
      </c>
      <c r="U175">
        <v>0.15462999999999999</v>
      </c>
    </row>
    <row r="176" spans="2:21" x14ac:dyDescent="0.3">
      <c r="M176">
        <v>0.30925999999999998</v>
      </c>
      <c r="O176">
        <v>0.27761000000000002</v>
      </c>
      <c r="Q176">
        <v>0.24612999999999999</v>
      </c>
      <c r="S176">
        <v>0.2162</v>
      </c>
      <c r="U176">
        <v>0.15462999999999999</v>
      </c>
    </row>
    <row r="177" spans="13:21" x14ac:dyDescent="0.3">
      <c r="M177">
        <v>0.30925999999999998</v>
      </c>
      <c r="O177">
        <v>0.27761000000000002</v>
      </c>
      <c r="Q177">
        <v>0.24612999999999999</v>
      </c>
      <c r="S177">
        <v>0.21637999999999999</v>
      </c>
      <c r="U177">
        <v>0.15462999999999999</v>
      </c>
    </row>
    <row r="178" spans="13:21" x14ac:dyDescent="0.3">
      <c r="M178">
        <v>0.30925999999999998</v>
      </c>
      <c r="O178">
        <v>0.27778000000000003</v>
      </c>
      <c r="Q178">
        <v>0.24629999999999999</v>
      </c>
      <c r="S178">
        <v>0.21637999999999999</v>
      </c>
      <c r="U178">
        <v>0.15462999999999999</v>
      </c>
    </row>
    <row r="179" spans="13:21" x14ac:dyDescent="0.3">
      <c r="M179">
        <v>0.30925000000000002</v>
      </c>
      <c r="O179">
        <v>0.27794999999999997</v>
      </c>
      <c r="Q179">
        <v>0.24629999999999999</v>
      </c>
      <c r="S179">
        <v>0.21637999999999999</v>
      </c>
      <c r="U179">
        <v>0.15479999999999999</v>
      </c>
    </row>
    <row r="180" spans="13:21" x14ac:dyDescent="0.3">
      <c r="M180">
        <v>0.30942999999999998</v>
      </c>
      <c r="O180">
        <v>0.27828999999999998</v>
      </c>
      <c r="Q180">
        <v>0.24648</v>
      </c>
      <c r="S180">
        <v>0.21637999999999999</v>
      </c>
      <c r="U180">
        <v>0.15479999999999999</v>
      </c>
    </row>
    <row r="181" spans="13:21" x14ac:dyDescent="0.3">
      <c r="M181">
        <v>0.30942999999999998</v>
      </c>
      <c r="O181">
        <v>0.27862999999999999</v>
      </c>
      <c r="Q181">
        <v>0.24646999999999999</v>
      </c>
      <c r="S181">
        <v>0.21637999999999999</v>
      </c>
      <c r="U181">
        <v>0.15479999999999999</v>
      </c>
    </row>
    <row r="182" spans="13:21" x14ac:dyDescent="0.3">
      <c r="M182">
        <v>0.30942999999999998</v>
      </c>
      <c r="O182">
        <v>0.27898000000000001</v>
      </c>
      <c r="Q182">
        <v>0.24665000000000001</v>
      </c>
      <c r="S182">
        <v>0.21637999999999999</v>
      </c>
      <c r="U182">
        <v>0.15479999999999999</v>
      </c>
    </row>
    <row r="183" spans="13:21" x14ac:dyDescent="0.3">
      <c r="M183">
        <v>0.30942999999999998</v>
      </c>
      <c r="O183">
        <v>0.27916000000000002</v>
      </c>
      <c r="Q183">
        <v>0.24648</v>
      </c>
      <c r="S183">
        <v>0.21637999999999999</v>
      </c>
      <c r="U183">
        <v>0.15462999999999999</v>
      </c>
    </row>
    <row r="184" spans="13:21" x14ac:dyDescent="0.3">
      <c r="M184">
        <v>0.30942999999999998</v>
      </c>
      <c r="O184">
        <v>0.27899000000000002</v>
      </c>
      <c r="Q184">
        <v>0.24648</v>
      </c>
      <c r="S184">
        <v>0.21637999999999999</v>
      </c>
      <c r="U184">
        <v>0.15445999999999999</v>
      </c>
    </row>
    <row r="185" spans="13:21" x14ac:dyDescent="0.3">
      <c r="M185">
        <v>0.30925999999999998</v>
      </c>
      <c r="O185">
        <v>0.27882000000000001</v>
      </c>
      <c r="Q185">
        <v>0.24648</v>
      </c>
      <c r="S185">
        <v>0.21621000000000001</v>
      </c>
      <c r="U185">
        <v>0.15429000000000001</v>
      </c>
    </row>
    <row r="186" spans="13:21" x14ac:dyDescent="0.3">
      <c r="M186">
        <v>0.30925999999999998</v>
      </c>
      <c r="O186">
        <v>0.27829999999999999</v>
      </c>
      <c r="Q186">
        <v>0.24629999999999999</v>
      </c>
      <c r="S186">
        <v>0.21603</v>
      </c>
      <c r="U186">
        <v>0.15411</v>
      </c>
    </row>
    <row r="187" spans="13:21" x14ac:dyDescent="0.3">
      <c r="M187">
        <v>0.30925999999999998</v>
      </c>
      <c r="O187">
        <v>0.27812999999999999</v>
      </c>
      <c r="Q187">
        <v>0.24631</v>
      </c>
      <c r="S187">
        <v>0.21603</v>
      </c>
      <c r="U187">
        <v>0.15411</v>
      </c>
    </row>
    <row r="188" spans="13:21" x14ac:dyDescent="0.3">
      <c r="M188">
        <v>0.30925999999999998</v>
      </c>
      <c r="O188">
        <v>0.27778000000000003</v>
      </c>
      <c r="Q188">
        <v>0.24612999999999999</v>
      </c>
      <c r="S188">
        <v>0.21586</v>
      </c>
      <c r="U188">
        <v>0.15428</v>
      </c>
    </row>
    <row r="189" spans="13:21" x14ac:dyDescent="0.3">
      <c r="M189">
        <v>0.30925999999999998</v>
      </c>
      <c r="O189">
        <v>0.27778000000000003</v>
      </c>
      <c r="Q189">
        <v>0.24612999999999999</v>
      </c>
      <c r="S189">
        <v>0.21586</v>
      </c>
      <c r="U189">
        <v>0.15462999999999999</v>
      </c>
    </row>
    <row r="190" spans="13:21" x14ac:dyDescent="0.3">
      <c r="M190">
        <v>0.30925999999999998</v>
      </c>
      <c r="O190">
        <v>0.27761000000000002</v>
      </c>
      <c r="Q190">
        <v>0.24612999999999999</v>
      </c>
      <c r="S190">
        <v>0.21603</v>
      </c>
      <c r="U190">
        <v>0.15479999999999999</v>
      </c>
    </row>
    <row r="191" spans="13:21" x14ac:dyDescent="0.3">
      <c r="M191">
        <v>0.30925000000000002</v>
      </c>
      <c r="O191">
        <v>0.27778000000000003</v>
      </c>
      <c r="Q191">
        <v>0.24612999999999999</v>
      </c>
      <c r="S191">
        <v>0.21603</v>
      </c>
      <c r="U191">
        <v>0.15497</v>
      </c>
    </row>
    <row r="192" spans="13:21" x14ac:dyDescent="0.3">
      <c r="M192">
        <v>0.30942999999999998</v>
      </c>
      <c r="O192">
        <v>0.27778000000000003</v>
      </c>
      <c r="Q192">
        <v>0.24612999999999999</v>
      </c>
      <c r="S192">
        <v>0.21603</v>
      </c>
      <c r="U192">
        <v>0.15479999999999999</v>
      </c>
    </row>
    <row r="193" spans="13:21" x14ac:dyDescent="0.3">
      <c r="M193">
        <v>0.30942999999999998</v>
      </c>
      <c r="O193">
        <v>0.27794999999999997</v>
      </c>
      <c r="Q193">
        <v>0.24629999999999999</v>
      </c>
      <c r="S193">
        <v>0.2162</v>
      </c>
      <c r="U193">
        <v>0.15479999999999999</v>
      </c>
    </row>
    <row r="194" spans="13:21" x14ac:dyDescent="0.3">
      <c r="M194">
        <v>0.30942999999999998</v>
      </c>
      <c r="O194">
        <v>0.27828999999999998</v>
      </c>
      <c r="Q194">
        <v>0.24629999999999999</v>
      </c>
      <c r="S194">
        <v>0.2162</v>
      </c>
      <c r="U194">
        <v>0.15462999999999999</v>
      </c>
    </row>
    <row r="195" spans="13:21" x14ac:dyDescent="0.3">
      <c r="M195">
        <v>0.30942999999999998</v>
      </c>
      <c r="O195">
        <v>0.27864</v>
      </c>
      <c r="S195">
        <v>0.21637999999999999</v>
      </c>
      <c r="U195">
        <v>0.15462999999999999</v>
      </c>
    </row>
    <row r="196" spans="13:21" x14ac:dyDescent="0.3">
      <c r="M196">
        <v>0.30925999999999998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F0B9-59F1-4C91-B235-C04402D9F8E1}">
  <dimension ref="A1:AE173"/>
  <sheetViews>
    <sheetView topLeftCell="K1" workbookViewId="0">
      <selection activeCell="AB8" sqref="AB8"/>
    </sheetView>
  </sheetViews>
  <sheetFormatPr defaultRowHeight="14.4" x14ac:dyDescent="0.3"/>
  <sheetData>
    <row r="1" spans="1:31" x14ac:dyDescent="0.3">
      <c r="B1" t="s">
        <v>22</v>
      </c>
      <c r="C1">
        <v>0.37629689873417721</v>
      </c>
    </row>
    <row r="2" spans="1:31" x14ac:dyDescent="0.3">
      <c r="B2" t="s">
        <v>23</v>
      </c>
      <c r="C2">
        <v>1.2639490182986079E-4</v>
      </c>
    </row>
    <row r="3" spans="1:31" x14ac:dyDescent="0.3">
      <c r="A3" t="s">
        <v>14</v>
      </c>
      <c r="B3">
        <v>0</v>
      </c>
      <c r="D3">
        <v>20</v>
      </c>
      <c r="F3">
        <v>40</v>
      </c>
      <c r="H3">
        <v>60</v>
      </c>
      <c r="J3">
        <v>100</v>
      </c>
      <c r="L3">
        <v>200</v>
      </c>
      <c r="N3">
        <v>300</v>
      </c>
      <c r="P3">
        <v>400</v>
      </c>
      <c r="R3">
        <v>500</v>
      </c>
      <c r="T3">
        <v>700</v>
      </c>
    </row>
    <row r="4" spans="1:31" x14ac:dyDescent="0.3">
      <c r="A4" t="s">
        <v>15</v>
      </c>
      <c r="B4">
        <f>B3*9.81/1000</f>
        <v>0</v>
      </c>
      <c r="C4">
        <f>C3*9.81/1000</f>
        <v>0</v>
      </c>
      <c r="D4">
        <f t="shared" ref="D4" si="0">D3*9.81/1000</f>
        <v>0.19620000000000001</v>
      </c>
      <c r="E4">
        <f t="shared" ref="E4" si="1">E3*9.81/1000</f>
        <v>0</v>
      </c>
      <c r="F4">
        <f t="shared" ref="F4" si="2">F3*9.81/1000</f>
        <v>0.39240000000000003</v>
      </c>
      <c r="G4">
        <f t="shared" ref="G4" si="3">G3*9.81/1000</f>
        <v>0</v>
      </c>
      <c r="H4">
        <f t="shared" ref="H4" si="4">H3*9.81/1000</f>
        <v>0.58860000000000001</v>
      </c>
      <c r="I4">
        <f t="shared" ref="I4" si="5">I3*9.81/1000</f>
        <v>0</v>
      </c>
      <c r="J4">
        <f t="shared" ref="J4" si="6">J3*9.81/1000</f>
        <v>0.98099999999999998</v>
      </c>
      <c r="K4">
        <f t="shared" ref="K4" si="7">K3*9.81/1000</f>
        <v>0</v>
      </c>
      <c r="L4">
        <f t="shared" ref="L4" si="8">L3*9.81/1000</f>
        <v>1.962</v>
      </c>
      <c r="M4">
        <f t="shared" ref="M4" si="9">M3*9.81/1000</f>
        <v>0</v>
      </c>
      <c r="N4">
        <f t="shared" ref="N4" si="10">N3*9.81/1000</f>
        <v>2.9430000000000001</v>
      </c>
      <c r="O4">
        <f t="shared" ref="O4" si="11">O3*9.81/1000</f>
        <v>0</v>
      </c>
      <c r="P4">
        <f t="shared" ref="P4" si="12">P3*9.81/1000</f>
        <v>3.9239999999999999</v>
      </c>
      <c r="Q4">
        <f t="shared" ref="Q4" si="13">Q3*9.81/1000</f>
        <v>0</v>
      </c>
      <c r="R4">
        <f t="shared" ref="R4" si="14">R3*9.81/1000</f>
        <v>4.9050000000000002</v>
      </c>
      <c r="S4">
        <f t="shared" ref="S4" si="15">S3*9.81/1000</f>
        <v>0</v>
      </c>
      <c r="T4">
        <f t="shared" ref="T4" si="16">T3*9.81/1000</f>
        <v>6.867</v>
      </c>
      <c r="X4" t="s">
        <v>7</v>
      </c>
    </row>
    <row r="5" spans="1:31" x14ac:dyDescent="0.3">
      <c r="A5" s="2" t="s">
        <v>5</v>
      </c>
      <c r="B5">
        <f>$C$1-AVERAGE(B15:B198)</f>
        <v>0</v>
      </c>
      <c r="D5">
        <f>$C$1-AVERAGE(D15:D198)</f>
        <v>6.1204019188909053E-3</v>
      </c>
      <c r="F5">
        <f>$C$1-AVERAGE(F15:F198)</f>
        <v>1.2273313828516486E-2</v>
      </c>
      <c r="H5">
        <f>$C$1-AVERAGE(H15:H198)</f>
        <v>1.8277721518986823E-2</v>
      </c>
      <c r="J5">
        <f>$C$1-AVERAGE(J15:J198)</f>
        <v>3.0427790453922576E-2</v>
      </c>
      <c r="L5">
        <f>$C$1-AVERAGE(L15:L198)</f>
        <v>6.074386075949384E-2</v>
      </c>
      <c r="N5">
        <f>$C$1-AVERAGE(N15:N198)</f>
        <v>9.1112278481012832E-2</v>
      </c>
      <c r="P5">
        <f>$C$1-AVERAGE(P15:P198)</f>
        <v>0.12254212166411377</v>
      </c>
      <c r="R5">
        <f>$C$1-AVERAGE(R15:R198)</f>
        <v>0.15408868217366761</v>
      </c>
      <c r="T5">
        <f>$C$1-AVERAGE(T15:T198)</f>
        <v>0.21400520062096975</v>
      </c>
      <c r="X5" t="s">
        <v>9</v>
      </c>
      <c r="Y5">
        <f>Y9*Y7-Y8^2</f>
        <v>5.2656675928392224E+17</v>
      </c>
      <c r="AA5" t="s">
        <v>20</v>
      </c>
      <c r="AB5">
        <f>(Y7*Y10-Y8*Y11)/Y5</f>
        <v>-1.0696893797865836E-5</v>
      </c>
    </row>
    <row r="6" spans="1:31" x14ac:dyDescent="0.3">
      <c r="A6" s="2" t="s">
        <v>24</v>
      </c>
      <c r="B6">
        <f>B5^2</f>
        <v>0</v>
      </c>
      <c r="D6">
        <f t="shared" ref="D6" si="17">D5^2</f>
        <v>3.7459319648763474E-5</v>
      </c>
      <c r="F6">
        <f t="shared" ref="F6" si="18">F5^2</f>
        <v>1.50634232333254E-4</v>
      </c>
      <c r="H6">
        <f t="shared" ref="H6" si="19">H5^2</f>
        <v>3.3407510392563397E-4</v>
      </c>
      <c r="J6">
        <f t="shared" ref="J6" si="20">J5^2</f>
        <v>9.2585043190782188E-4</v>
      </c>
      <c r="L6">
        <f t="shared" ref="L6" si="21">L5^2</f>
        <v>3.6898166199687754E-3</v>
      </c>
      <c r="N6">
        <f t="shared" ref="N6" si="22">N5^2</f>
        <v>8.3014472900016338E-3</v>
      </c>
      <c r="P6">
        <f t="shared" ref="P6" si="23">P5^2</f>
        <v>1.5016571581942461E-2</v>
      </c>
      <c r="R6">
        <f t="shared" ref="R6" si="24">R5^2</f>
        <v>2.3743321974017552E-2</v>
      </c>
      <c r="T6">
        <f t="shared" ref="T6" si="25">T5^2</f>
        <v>4.5798225892821516E-2</v>
      </c>
      <c r="AA6" t="s">
        <v>21</v>
      </c>
      <c r="AB6">
        <f>(Y9*Y11-Y8*Y10)/Y5</f>
        <v>3.126704089712122E-2</v>
      </c>
      <c r="AD6" t="s">
        <v>26</v>
      </c>
      <c r="AE6">
        <f>1/AB6</f>
        <v>31.982559631732556</v>
      </c>
    </row>
    <row r="7" spans="1:31" x14ac:dyDescent="0.3">
      <c r="A7" s="3" t="s">
        <v>6</v>
      </c>
      <c r="B7" s="3">
        <f>_xlfn.STDEV.S(B15:B197)+$C$2</f>
        <v>2.5278980365972157E-4</v>
      </c>
      <c r="C7" s="3"/>
      <c r="D7" s="3">
        <f>_xlfn.STDEV.S(D15:D197)+$C$2</f>
        <v>2.4905696752901556E-4</v>
      </c>
      <c r="E7" s="3"/>
      <c r="F7" s="3">
        <f>_xlfn.STDEV.S(F15:F197)+$C$2</f>
        <v>2.5638654235402274E-4</v>
      </c>
      <c r="G7" s="3"/>
      <c r="H7" s="3">
        <f>_xlfn.STDEV.S(H15:H197)+$C$2</f>
        <v>3.0050945958642254E-4</v>
      </c>
      <c r="I7" s="3"/>
      <c r="J7" s="3">
        <f>_xlfn.STDEV.S(J15:J197)+$C$2</f>
        <v>3.5404841666239554E-4</v>
      </c>
      <c r="K7" s="3"/>
      <c r="L7" s="3">
        <f>_xlfn.STDEV.S(L15:L197)+$C$2</f>
        <v>4.3300718809729383E-4</v>
      </c>
      <c r="M7" s="3"/>
      <c r="N7" s="3">
        <f>_xlfn.STDEV.S(N15:N197)+$C$2</f>
        <v>2.9091557629373852E-4</v>
      </c>
      <c r="O7" s="3"/>
      <c r="P7" s="3">
        <f>_xlfn.STDEV.S(P15:P197)+$C$2</f>
        <v>3.2083883609733464E-4</v>
      </c>
      <c r="Q7" s="3"/>
      <c r="R7" s="3">
        <f>_xlfn.STDEV.S(R15:R197)+$C$2</f>
        <v>2.785440492389863E-4</v>
      </c>
      <c r="S7" s="3"/>
      <c r="T7" s="3">
        <f>_xlfn.STDEV.S(T15:T197)+$C$2</f>
        <v>1.9277770039691597E-3</v>
      </c>
      <c r="U7" s="3"/>
      <c r="X7" s="4" t="s">
        <v>10</v>
      </c>
      <c r="Y7" s="4">
        <f>SUM(B10:U10)</f>
        <v>609712191.62838352</v>
      </c>
      <c r="Z7" s="4"/>
      <c r="AA7" s="4"/>
      <c r="AB7" s="4"/>
    </row>
    <row r="8" spans="1:31" x14ac:dyDescent="0.3">
      <c r="A8" s="1" t="s">
        <v>8</v>
      </c>
      <c r="B8">
        <f>1/(B7)^2</f>
        <v>15648794.766490379</v>
      </c>
      <c r="D8">
        <f t="shared" ref="D8" si="26">1/(D7)^2</f>
        <v>16121394.597926054</v>
      </c>
      <c r="F8">
        <f t="shared" ref="F8" si="27">1/(F7)^2</f>
        <v>15212813.778545132</v>
      </c>
      <c r="H8">
        <f t="shared" ref="H8" si="28">1/(H7)^2</f>
        <v>11073469.276052902</v>
      </c>
      <c r="J8">
        <f t="shared" ref="J8" si="29">1/(J7)^2</f>
        <v>7977644.6394917341</v>
      </c>
      <c r="L8">
        <f t="shared" ref="L8" si="30">1/(L7)^2</f>
        <v>5333469.1606096812</v>
      </c>
      <c r="N8">
        <f t="shared" ref="N8" si="31">1/(N7)^2</f>
        <v>11815879.409282433</v>
      </c>
      <c r="P8">
        <f t="shared" ref="P8" si="32">1/(P7)^2</f>
        <v>9714627.1211389992</v>
      </c>
      <c r="R8">
        <f t="shared" ref="R8" si="33">1/(R7)^2</f>
        <v>12888792.459944133</v>
      </c>
      <c r="T8">
        <f t="shared" ref="T8" si="34">1/(T7)^2</f>
        <v>269083.09188423795</v>
      </c>
      <c r="X8" t="s">
        <v>11</v>
      </c>
      <c r="Y8">
        <f>SUM(B9:U9)</f>
        <v>171902356.1800192</v>
      </c>
      <c r="AA8" t="s">
        <v>34</v>
      </c>
      <c r="AB8">
        <f>SQRT(Y9/Y5)</f>
        <v>4.1619225701949774E-5</v>
      </c>
    </row>
    <row r="9" spans="1:31" x14ac:dyDescent="0.3">
      <c r="A9" s="1" t="s">
        <v>12</v>
      </c>
      <c r="B9">
        <f>B4*B8</f>
        <v>0</v>
      </c>
      <c r="D9">
        <f t="shared" ref="D9" si="35">D4*D8</f>
        <v>3163017.620113092</v>
      </c>
      <c r="F9">
        <f t="shared" ref="F9" si="36">F4*F8</f>
        <v>5969508.12670111</v>
      </c>
      <c r="H9">
        <f t="shared" ref="H9" si="37">H4*H8</f>
        <v>6517844.0158847384</v>
      </c>
      <c r="J9">
        <f t="shared" ref="J9" si="38">J4*J8</f>
        <v>7826069.391341391</v>
      </c>
      <c r="L9">
        <f t="shared" ref="L9" si="39">L4*L8</f>
        <v>10464266.493116194</v>
      </c>
      <c r="N9">
        <f t="shared" ref="N9" si="40">N4*N8</f>
        <v>34774133.101518199</v>
      </c>
      <c r="P9">
        <f t="shared" ref="P9" si="41">P4*P8</f>
        <v>38120196.823349431</v>
      </c>
      <c r="R9">
        <f t="shared" ref="R9" si="42">R4*R8</f>
        <v>63219527.016025975</v>
      </c>
      <c r="T9">
        <f t="shared" ref="T9" si="43">T4*T8</f>
        <v>1847793.5919690619</v>
      </c>
      <c r="X9" t="s">
        <v>8</v>
      </c>
      <c r="Y9">
        <f>SUM(B8:U65)</f>
        <v>912097850.39547813</v>
      </c>
    </row>
    <row r="10" spans="1:31" x14ac:dyDescent="0.3">
      <c r="A10" s="1" t="s">
        <v>13</v>
      </c>
      <c r="B10">
        <f>B4^2*B8</f>
        <v>0</v>
      </c>
      <c r="D10">
        <f t="shared" ref="D10:T10" si="44">D4^2*D8</f>
        <v>620584.05706618866</v>
      </c>
      <c r="F10">
        <f t="shared" ref="F10:T10" si="45">F4^2*F8</f>
        <v>2342434.9889175156</v>
      </c>
      <c r="H10">
        <f t="shared" ref="H10:T10" si="46">H4^2*H8</f>
        <v>3836402.9877497568</v>
      </c>
      <c r="J10">
        <f t="shared" ref="J10:T10" si="47">J4^2*J8</f>
        <v>7677374.0729059046</v>
      </c>
      <c r="L10">
        <f t="shared" ref="L10:T10" si="48">L4^2*L8</f>
        <v>20530890.859493975</v>
      </c>
      <c r="N10">
        <f t="shared" ref="N10:T10" si="49">N4^2*N8</f>
        <v>102340273.71776806</v>
      </c>
      <c r="P10">
        <f t="shared" ref="P10:T10" si="50">P4^2*P8</f>
        <v>149583652.33482319</v>
      </c>
      <c r="R10">
        <f t="shared" ref="R10:T10" si="51">R4^2*R8</f>
        <v>310091780.01360738</v>
      </c>
      <c r="T10">
        <f t="shared" ref="T10" si="52">T4^2*T8</f>
        <v>12688798.59605155</v>
      </c>
      <c r="X10" t="s">
        <v>18</v>
      </c>
      <c r="Y10">
        <f>SUM(B11:U11)</f>
        <v>5365121.3871532157</v>
      </c>
    </row>
    <row r="11" spans="1:31" x14ac:dyDescent="0.3">
      <c r="A11" s="1" t="s">
        <v>16</v>
      </c>
      <c r="B11">
        <f>B8*B5</f>
        <v>0</v>
      </c>
      <c r="D11">
        <f t="shared" ref="D11:T11" si="53">D8*D5</f>
        <v>98669.4144323441</v>
      </c>
      <c r="F11">
        <f t="shared" ref="F11:T11" si="54">F8*F5</f>
        <v>186711.63771886411</v>
      </c>
      <c r="H11">
        <f t="shared" ref="H11:T11" si="55">H8*H5</f>
        <v>202397.78767675156</v>
      </c>
      <c r="J11">
        <f t="shared" ref="J11:T11" si="56">J8*J5</f>
        <v>242742.09940631321</v>
      </c>
      <c r="L11">
        <f t="shared" ref="L11:T11" si="57">L8*L5</f>
        <v>323975.50805712893</v>
      </c>
      <c r="N11">
        <f t="shared" ref="N11:T11" si="58">N8*N5</f>
        <v>1076571.6952366065</v>
      </c>
      <c r="P11">
        <f t="shared" ref="P11:T11" si="59">P8*P5</f>
        <v>1190451.0186001146</v>
      </c>
      <c r="R11">
        <f t="shared" ref="R11:T11" si="60">R8*R5</f>
        <v>1986017.0449626951</v>
      </c>
      <c r="T11">
        <f t="shared" ref="T11" si="61">T8*T5</f>
        <v>57585.181062397183</v>
      </c>
      <c r="X11" t="s">
        <v>19</v>
      </c>
      <c r="Y11">
        <f>SUM(B12:U12)</f>
        <v>19062057.209870413</v>
      </c>
    </row>
    <row r="12" spans="1:31" x14ac:dyDescent="0.3">
      <c r="A12" s="1" t="s">
        <v>17</v>
      </c>
      <c r="B12">
        <f>B8*B5*B4</f>
        <v>0</v>
      </c>
      <c r="D12">
        <f t="shared" ref="D12:T12" si="62">D8*D5*D4</f>
        <v>19358.939111625914</v>
      </c>
      <c r="F12">
        <f t="shared" ref="F12:T12" si="63">F8*F5*F4</f>
        <v>73265.646640882274</v>
      </c>
      <c r="H12">
        <f t="shared" ref="H12:T12" si="64">H8*H5*H4</f>
        <v>119131.33782653596</v>
      </c>
      <c r="J12">
        <f t="shared" ref="J12:T12" si="65">J8*J5*J4</f>
        <v>238129.99951759324</v>
      </c>
      <c r="L12">
        <f t="shared" ref="L12:T12" si="66">L8*L5*L4</f>
        <v>635639.94680808694</v>
      </c>
      <c r="N12">
        <f t="shared" ref="N12:T12" si="67">N8*N5*N4</f>
        <v>3168350.4990813332</v>
      </c>
      <c r="P12">
        <f t="shared" ref="P12:T12" si="68">P8*P5*P4</f>
        <v>4671329.79698685</v>
      </c>
      <c r="R12">
        <f t="shared" ref="R12:T12" si="69">R8*R5*R4</f>
        <v>9741413.6055420209</v>
      </c>
      <c r="T12">
        <f t="shared" ref="T12" si="70">T8*T5*T4</f>
        <v>395437.43835548148</v>
      </c>
    </row>
    <row r="13" spans="1:31" x14ac:dyDescent="0.3">
      <c r="A13" s="1"/>
    </row>
    <row r="14" spans="1:31" x14ac:dyDescent="0.3">
      <c r="B14" t="s">
        <v>3</v>
      </c>
      <c r="D14" t="s">
        <v>3</v>
      </c>
      <c r="F14" t="s">
        <v>3</v>
      </c>
      <c r="H14" t="s">
        <v>3</v>
      </c>
      <c r="J14" t="s">
        <v>3</v>
      </c>
      <c r="L14" t="s">
        <v>3</v>
      </c>
      <c r="N14" t="s">
        <v>3</v>
      </c>
      <c r="P14" t="s">
        <v>3</v>
      </c>
      <c r="R14" t="s">
        <v>3</v>
      </c>
      <c r="T14" t="s">
        <v>3</v>
      </c>
    </row>
    <row r="15" spans="1:31" x14ac:dyDescent="0.3">
      <c r="B15">
        <v>0.37634000000000001</v>
      </c>
      <c r="D15">
        <v>0.37014000000000002</v>
      </c>
      <c r="F15">
        <v>0.36377999999999999</v>
      </c>
      <c r="H15">
        <v>0.35776000000000002</v>
      </c>
      <c r="J15">
        <v>0.34520000000000001</v>
      </c>
      <c r="L15">
        <v>0.31528</v>
      </c>
      <c r="N15">
        <v>0.28499999999999998</v>
      </c>
      <c r="P15">
        <v>0.25352999999999998</v>
      </c>
      <c r="R15">
        <v>0.22222</v>
      </c>
      <c r="T15">
        <v>0.16048000000000001</v>
      </c>
    </row>
    <row r="16" spans="1:31" x14ac:dyDescent="0.3">
      <c r="B16">
        <v>0.37634000000000001</v>
      </c>
      <c r="D16">
        <v>0.37014999999999998</v>
      </c>
      <c r="F16">
        <v>0.36377999999999999</v>
      </c>
      <c r="H16">
        <v>0.35776000000000002</v>
      </c>
      <c r="J16">
        <v>0.34537000000000001</v>
      </c>
      <c r="L16">
        <v>0.31511</v>
      </c>
      <c r="N16">
        <v>0.28499999999999998</v>
      </c>
      <c r="P16">
        <v>0.25352999999999998</v>
      </c>
      <c r="R16">
        <v>0.22222</v>
      </c>
      <c r="T16">
        <v>0.1603</v>
      </c>
    </row>
    <row r="17" spans="2:20" x14ac:dyDescent="0.3">
      <c r="B17">
        <v>0.37634000000000001</v>
      </c>
      <c r="D17">
        <v>0.36997000000000002</v>
      </c>
      <c r="F17">
        <v>0.36359999999999998</v>
      </c>
      <c r="H17">
        <v>0.35776000000000002</v>
      </c>
      <c r="J17">
        <v>0.34554000000000001</v>
      </c>
      <c r="L17">
        <v>0.31492999999999999</v>
      </c>
      <c r="N17">
        <v>0.28499999999999998</v>
      </c>
      <c r="P17">
        <v>0.25352999999999998</v>
      </c>
      <c r="R17">
        <v>0.22222</v>
      </c>
      <c r="T17">
        <v>0.1603</v>
      </c>
    </row>
    <row r="18" spans="2:20" x14ac:dyDescent="0.3">
      <c r="B18">
        <v>0.37615999999999999</v>
      </c>
      <c r="D18">
        <v>0.36997999999999998</v>
      </c>
      <c r="F18">
        <v>0.36377999999999999</v>
      </c>
      <c r="H18">
        <v>0.35776000000000002</v>
      </c>
      <c r="J18">
        <v>0.34572000000000003</v>
      </c>
      <c r="L18">
        <v>0.31492999999999999</v>
      </c>
      <c r="N18">
        <v>0.28499999999999998</v>
      </c>
      <c r="P18">
        <v>0.25352999999999998</v>
      </c>
      <c r="R18">
        <v>0.22222</v>
      </c>
      <c r="T18">
        <v>0.1603</v>
      </c>
    </row>
    <row r="19" spans="2:20" x14ac:dyDescent="0.3">
      <c r="B19">
        <v>0.37615999999999999</v>
      </c>
      <c r="D19">
        <v>0.36980000000000002</v>
      </c>
      <c r="F19">
        <v>0.36377999999999999</v>
      </c>
      <c r="H19">
        <v>0.35793000000000003</v>
      </c>
      <c r="J19">
        <v>0.34588999999999998</v>
      </c>
      <c r="L19">
        <v>0.31509999999999999</v>
      </c>
      <c r="N19">
        <v>0.28499999999999998</v>
      </c>
      <c r="P19">
        <v>0.25352999999999998</v>
      </c>
      <c r="R19">
        <v>0.22222</v>
      </c>
      <c r="T19">
        <v>0.16047</v>
      </c>
    </row>
    <row r="20" spans="2:20" x14ac:dyDescent="0.3">
      <c r="B20">
        <v>0.37615999999999999</v>
      </c>
      <c r="D20">
        <v>0.36980000000000002</v>
      </c>
      <c r="F20">
        <v>0.36377999999999999</v>
      </c>
      <c r="H20">
        <v>0.35809999999999997</v>
      </c>
      <c r="J20">
        <v>0.34605999999999998</v>
      </c>
      <c r="L20">
        <v>0.31526999999999999</v>
      </c>
      <c r="N20">
        <v>0.28500999999999999</v>
      </c>
      <c r="P20">
        <v>0.25369999999999998</v>
      </c>
      <c r="R20">
        <v>0.22222</v>
      </c>
      <c r="T20">
        <v>0.16064000000000001</v>
      </c>
    </row>
    <row r="21" spans="2:20" x14ac:dyDescent="0.3">
      <c r="B21">
        <v>0.37634000000000001</v>
      </c>
      <c r="D21">
        <v>0.36997000000000002</v>
      </c>
      <c r="F21">
        <v>0.36377999999999999</v>
      </c>
      <c r="H21">
        <v>0.35809999999999997</v>
      </c>
      <c r="J21">
        <v>0.34606999999999999</v>
      </c>
      <c r="L21">
        <v>0.31544</v>
      </c>
      <c r="N21">
        <v>0.28483000000000003</v>
      </c>
      <c r="P21">
        <v>0.25369999999999998</v>
      </c>
      <c r="R21">
        <v>0.22223000000000001</v>
      </c>
      <c r="T21">
        <v>0.16114999999999999</v>
      </c>
    </row>
    <row r="22" spans="2:20" x14ac:dyDescent="0.3">
      <c r="B22">
        <v>0.37634000000000001</v>
      </c>
      <c r="D22">
        <v>0.36997000000000002</v>
      </c>
      <c r="F22">
        <v>0.36377999999999999</v>
      </c>
      <c r="H22">
        <v>0.35810999999999998</v>
      </c>
      <c r="J22">
        <v>0.34589999999999999</v>
      </c>
      <c r="L22">
        <v>0.31562000000000001</v>
      </c>
      <c r="N22">
        <v>0.28483000000000003</v>
      </c>
      <c r="P22">
        <v>0.25386999999999998</v>
      </c>
      <c r="R22">
        <v>0.22205</v>
      </c>
      <c r="T22">
        <v>0.16252</v>
      </c>
    </row>
    <row r="23" spans="2:20" x14ac:dyDescent="0.3">
      <c r="B23">
        <v>0.37634000000000001</v>
      </c>
      <c r="D23">
        <v>0.36997000000000002</v>
      </c>
      <c r="F23">
        <v>0.36377999999999999</v>
      </c>
      <c r="H23">
        <v>0.35793999999999998</v>
      </c>
      <c r="J23">
        <v>0.34572000000000003</v>
      </c>
      <c r="L23">
        <v>0.31579000000000002</v>
      </c>
      <c r="N23">
        <v>0.28483000000000003</v>
      </c>
      <c r="P23">
        <v>0.25386999999999998</v>
      </c>
      <c r="R23">
        <v>0.22205</v>
      </c>
      <c r="T23">
        <v>0.16425999999999999</v>
      </c>
    </row>
    <row r="24" spans="2:20" x14ac:dyDescent="0.3">
      <c r="B24">
        <v>0.37634000000000001</v>
      </c>
      <c r="D24">
        <v>0.37014999999999998</v>
      </c>
      <c r="F24">
        <v>0.36377999999999999</v>
      </c>
      <c r="H24">
        <v>0.35776000000000002</v>
      </c>
      <c r="J24">
        <v>0.34572000000000003</v>
      </c>
      <c r="L24">
        <v>0.31580000000000003</v>
      </c>
      <c r="N24">
        <v>0.28483000000000003</v>
      </c>
      <c r="P24">
        <v>0.25403999999999999</v>
      </c>
      <c r="R24">
        <v>0.22205</v>
      </c>
      <c r="T24">
        <v>0.16442999999999999</v>
      </c>
    </row>
    <row r="25" spans="2:20" x14ac:dyDescent="0.3">
      <c r="B25">
        <v>0.37615999999999999</v>
      </c>
      <c r="D25">
        <v>0.36997000000000002</v>
      </c>
      <c r="F25">
        <v>0.36377999999999999</v>
      </c>
      <c r="H25">
        <v>0.35776000000000002</v>
      </c>
      <c r="J25">
        <v>0.34572000000000003</v>
      </c>
      <c r="L25">
        <v>0.31562000000000001</v>
      </c>
      <c r="N25">
        <v>0.28483000000000003</v>
      </c>
      <c r="P25">
        <v>0.25403999999999999</v>
      </c>
      <c r="R25">
        <v>0.22205</v>
      </c>
      <c r="T25">
        <v>0.1646</v>
      </c>
    </row>
    <row r="26" spans="2:20" x14ac:dyDescent="0.3">
      <c r="B26">
        <v>0.37615999999999999</v>
      </c>
      <c r="D26">
        <v>0.36997000000000002</v>
      </c>
      <c r="F26">
        <v>0.36377999999999999</v>
      </c>
      <c r="H26">
        <v>0.35776000000000002</v>
      </c>
      <c r="J26">
        <v>0.34572000000000003</v>
      </c>
      <c r="L26">
        <v>0.31545000000000001</v>
      </c>
      <c r="N26">
        <v>0.28483000000000003</v>
      </c>
      <c r="P26">
        <v>0.25403999999999999</v>
      </c>
      <c r="R26">
        <v>0.22205</v>
      </c>
      <c r="T26">
        <v>0.1646</v>
      </c>
    </row>
    <row r="27" spans="2:20" x14ac:dyDescent="0.3">
      <c r="B27">
        <v>0.37615999999999999</v>
      </c>
      <c r="D27">
        <v>0.36997000000000002</v>
      </c>
      <c r="F27">
        <v>0.36377999999999999</v>
      </c>
      <c r="H27">
        <v>0.35776000000000002</v>
      </c>
      <c r="J27">
        <v>0.34588999999999998</v>
      </c>
      <c r="L27">
        <v>0.31528</v>
      </c>
      <c r="N27">
        <v>0.28499999999999998</v>
      </c>
      <c r="P27">
        <v>0.25405</v>
      </c>
      <c r="R27">
        <v>0.22205</v>
      </c>
      <c r="T27">
        <v>0.1646</v>
      </c>
    </row>
    <row r="28" spans="2:20" x14ac:dyDescent="0.3">
      <c r="B28">
        <v>0.37634000000000001</v>
      </c>
      <c r="D28">
        <v>0.36997000000000002</v>
      </c>
      <c r="F28">
        <v>0.36377999999999999</v>
      </c>
      <c r="H28">
        <v>0.35793000000000003</v>
      </c>
      <c r="J28">
        <v>0.34605999999999998</v>
      </c>
      <c r="L28">
        <v>0.31511</v>
      </c>
      <c r="N28">
        <v>0.28517999999999999</v>
      </c>
      <c r="P28">
        <v>0.25386999999999998</v>
      </c>
      <c r="R28">
        <v>0.22205</v>
      </c>
      <c r="T28">
        <v>0.16461000000000001</v>
      </c>
    </row>
    <row r="29" spans="2:20" x14ac:dyDescent="0.3">
      <c r="B29">
        <v>0.37634000000000001</v>
      </c>
      <c r="D29">
        <v>0.37014000000000002</v>
      </c>
      <c r="F29">
        <v>0.36377999999999999</v>
      </c>
      <c r="H29">
        <v>0.35810999999999998</v>
      </c>
      <c r="J29">
        <v>0.34605999999999998</v>
      </c>
      <c r="L29">
        <v>0.31492999999999999</v>
      </c>
      <c r="N29">
        <v>0.28517999999999999</v>
      </c>
      <c r="P29">
        <v>0.25369999999999998</v>
      </c>
      <c r="R29">
        <v>0.22222</v>
      </c>
      <c r="T29">
        <v>0.16442999999999999</v>
      </c>
    </row>
    <row r="30" spans="2:20" x14ac:dyDescent="0.3">
      <c r="B30">
        <v>0.37634000000000001</v>
      </c>
      <c r="D30">
        <v>0.37031999999999998</v>
      </c>
      <c r="F30">
        <v>0.36377999999999999</v>
      </c>
      <c r="H30">
        <v>0.35793000000000003</v>
      </c>
      <c r="J30">
        <v>0.34605999999999998</v>
      </c>
      <c r="L30">
        <v>0.31492999999999999</v>
      </c>
      <c r="N30">
        <v>0.28517999999999999</v>
      </c>
      <c r="P30">
        <v>0.25369999999999998</v>
      </c>
      <c r="R30">
        <v>0.22222</v>
      </c>
      <c r="T30">
        <v>0.16428000000000001</v>
      </c>
    </row>
    <row r="31" spans="2:20" x14ac:dyDescent="0.3">
      <c r="B31">
        <v>0.37615999999999999</v>
      </c>
      <c r="D31">
        <v>0.37031999999999998</v>
      </c>
      <c r="F31">
        <v>0.36377999999999999</v>
      </c>
      <c r="H31">
        <v>0.35793999999999998</v>
      </c>
      <c r="J31">
        <v>0.34606999999999999</v>
      </c>
      <c r="L31">
        <v>0.31509999999999999</v>
      </c>
      <c r="N31">
        <v>0.28517999999999999</v>
      </c>
      <c r="P31">
        <v>0.25352999999999998</v>
      </c>
      <c r="R31">
        <v>0.22222</v>
      </c>
      <c r="T31">
        <v>0.16255</v>
      </c>
    </row>
    <row r="32" spans="2:20" x14ac:dyDescent="0.3">
      <c r="B32">
        <v>0.37617</v>
      </c>
      <c r="D32">
        <v>0.37031999999999998</v>
      </c>
      <c r="F32">
        <v>0.36377999999999999</v>
      </c>
      <c r="H32">
        <v>0.35776000000000002</v>
      </c>
      <c r="J32">
        <v>0.34589999999999999</v>
      </c>
      <c r="L32">
        <v>0.31526999999999999</v>
      </c>
      <c r="N32">
        <v>0.28499999999999998</v>
      </c>
      <c r="P32">
        <v>0.25352999999999998</v>
      </c>
      <c r="R32">
        <v>0.22239999999999999</v>
      </c>
      <c r="T32">
        <v>0.16117000000000001</v>
      </c>
    </row>
    <row r="33" spans="2:20" x14ac:dyDescent="0.3">
      <c r="B33">
        <v>0.37598999999999999</v>
      </c>
      <c r="D33">
        <v>0.37014000000000002</v>
      </c>
      <c r="F33">
        <v>0.36377999999999999</v>
      </c>
      <c r="H33">
        <v>0.35776000000000002</v>
      </c>
      <c r="J33">
        <v>0.34572000000000003</v>
      </c>
      <c r="L33">
        <v>0.31544</v>
      </c>
      <c r="N33">
        <v>0.28499999999999998</v>
      </c>
      <c r="P33">
        <v>0.25352999999999998</v>
      </c>
      <c r="R33">
        <v>0.22239999999999999</v>
      </c>
      <c r="T33">
        <v>0.16064999999999999</v>
      </c>
    </row>
    <row r="34" spans="2:20" x14ac:dyDescent="0.3">
      <c r="B34">
        <v>0.37615999999999999</v>
      </c>
      <c r="D34">
        <v>0.37014000000000002</v>
      </c>
      <c r="F34">
        <v>0.36377999999999999</v>
      </c>
      <c r="H34">
        <v>0.35776000000000002</v>
      </c>
      <c r="J34">
        <v>0.34555000000000002</v>
      </c>
      <c r="L34">
        <v>0.31562000000000001</v>
      </c>
      <c r="N34">
        <v>0.28500999999999999</v>
      </c>
      <c r="P34">
        <v>0.25352999999999998</v>
      </c>
      <c r="R34">
        <v>0.22239999999999999</v>
      </c>
      <c r="T34">
        <v>0.16048000000000001</v>
      </c>
    </row>
    <row r="35" spans="2:20" x14ac:dyDescent="0.3">
      <c r="B35">
        <v>0.37634000000000001</v>
      </c>
      <c r="D35">
        <v>0.37014000000000002</v>
      </c>
      <c r="F35">
        <v>0.36377999999999999</v>
      </c>
      <c r="H35">
        <v>0.35776000000000002</v>
      </c>
      <c r="J35">
        <v>0.34555000000000002</v>
      </c>
      <c r="L35">
        <v>0.31579000000000002</v>
      </c>
      <c r="N35">
        <v>0.28483000000000003</v>
      </c>
      <c r="P35">
        <v>0.25352999999999998</v>
      </c>
      <c r="R35">
        <v>0.22239999999999999</v>
      </c>
      <c r="T35">
        <v>0.16048000000000001</v>
      </c>
    </row>
    <row r="36" spans="2:20" x14ac:dyDescent="0.3">
      <c r="B36">
        <v>0.37634000000000001</v>
      </c>
      <c r="D36">
        <v>0.37014000000000002</v>
      </c>
      <c r="F36">
        <v>0.36395</v>
      </c>
      <c r="H36">
        <v>0.35793000000000003</v>
      </c>
      <c r="J36">
        <v>0.34554000000000001</v>
      </c>
      <c r="L36">
        <v>0.31580000000000003</v>
      </c>
      <c r="N36">
        <v>0.28483000000000003</v>
      </c>
      <c r="P36">
        <v>0.25369999999999998</v>
      </c>
      <c r="R36">
        <v>0.22222</v>
      </c>
      <c r="T36">
        <v>0.16048000000000001</v>
      </c>
    </row>
    <row r="37" spans="2:20" x14ac:dyDescent="0.3">
      <c r="B37">
        <v>0.37634000000000001</v>
      </c>
      <c r="D37">
        <v>0.37031999999999998</v>
      </c>
      <c r="F37">
        <v>0.36395</v>
      </c>
      <c r="H37">
        <v>0.35809999999999997</v>
      </c>
      <c r="J37">
        <v>0.34572000000000003</v>
      </c>
      <c r="L37">
        <v>0.31562000000000001</v>
      </c>
      <c r="N37">
        <v>0.28483000000000003</v>
      </c>
      <c r="P37">
        <v>0.25386999999999998</v>
      </c>
      <c r="R37">
        <v>0.22223000000000001</v>
      </c>
      <c r="T37">
        <v>0.16048000000000001</v>
      </c>
    </row>
    <row r="38" spans="2:20" x14ac:dyDescent="0.3">
      <c r="B38">
        <v>0.37615999999999999</v>
      </c>
      <c r="D38">
        <v>0.37031999999999998</v>
      </c>
      <c r="F38">
        <v>0.36395</v>
      </c>
      <c r="H38">
        <v>0.35809999999999997</v>
      </c>
      <c r="J38">
        <v>0.34588999999999998</v>
      </c>
      <c r="L38">
        <v>0.31545000000000001</v>
      </c>
      <c r="N38">
        <v>0.28483000000000003</v>
      </c>
      <c r="P38">
        <v>0.25386999999999998</v>
      </c>
      <c r="R38">
        <v>0.22205</v>
      </c>
      <c r="T38">
        <v>0.16047</v>
      </c>
    </row>
    <row r="39" spans="2:20" x14ac:dyDescent="0.3">
      <c r="B39">
        <v>0.37615999999999999</v>
      </c>
      <c r="D39">
        <v>0.37031999999999998</v>
      </c>
      <c r="F39">
        <v>0.36395</v>
      </c>
      <c r="H39">
        <v>0.35810999999999998</v>
      </c>
      <c r="J39">
        <v>0.34588999999999998</v>
      </c>
      <c r="L39">
        <v>0.31528</v>
      </c>
      <c r="N39">
        <v>0.28483000000000003</v>
      </c>
      <c r="P39">
        <v>0.25403999999999999</v>
      </c>
      <c r="R39">
        <v>0.22205</v>
      </c>
      <c r="T39">
        <v>0.16064000000000001</v>
      </c>
    </row>
    <row r="40" spans="2:20" x14ac:dyDescent="0.3">
      <c r="B40">
        <v>0.37615999999999999</v>
      </c>
      <c r="D40">
        <v>0.37014999999999998</v>
      </c>
      <c r="F40">
        <v>0.36396000000000001</v>
      </c>
      <c r="H40">
        <v>0.35793999999999998</v>
      </c>
      <c r="J40">
        <v>0.34588999999999998</v>
      </c>
      <c r="L40">
        <v>0.31509999999999999</v>
      </c>
      <c r="N40">
        <v>0.28499999999999998</v>
      </c>
      <c r="P40">
        <v>0.25403999999999999</v>
      </c>
      <c r="R40">
        <v>0.22205</v>
      </c>
      <c r="T40">
        <v>0.16114999999999999</v>
      </c>
    </row>
    <row r="41" spans="2:20" x14ac:dyDescent="0.3">
      <c r="B41">
        <v>0.37634000000000001</v>
      </c>
      <c r="D41">
        <v>0.36997000000000002</v>
      </c>
      <c r="F41">
        <v>0.36377999999999999</v>
      </c>
      <c r="H41">
        <v>0.35776000000000002</v>
      </c>
      <c r="J41">
        <v>0.34589999999999999</v>
      </c>
      <c r="L41">
        <v>0.31509999999999999</v>
      </c>
      <c r="N41">
        <v>0.28499999999999998</v>
      </c>
      <c r="P41">
        <v>0.25403999999999999</v>
      </c>
      <c r="R41">
        <v>0.22205</v>
      </c>
      <c r="T41">
        <v>0.16234999999999999</v>
      </c>
    </row>
    <row r="42" spans="2:20" x14ac:dyDescent="0.3">
      <c r="B42">
        <v>0.37633</v>
      </c>
      <c r="D42">
        <v>0.36997000000000002</v>
      </c>
      <c r="F42">
        <v>0.36395</v>
      </c>
      <c r="H42">
        <v>0.35776000000000002</v>
      </c>
      <c r="J42">
        <v>0.34572000000000003</v>
      </c>
      <c r="L42">
        <v>0.31509999999999999</v>
      </c>
      <c r="N42">
        <v>0.28517999999999999</v>
      </c>
      <c r="P42">
        <v>0.25405</v>
      </c>
      <c r="R42">
        <v>0.22205</v>
      </c>
      <c r="T42">
        <v>0.16408</v>
      </c>
    </row>
    <row r="43" spans="2:20" x14ac:dyDescent="0.3">
      <c r="B43">
        <v>0.37651000000000001</v>
      </c>
      <c r="D43">
        <v>0.37014000000000002</v>
      </c>
      <c r="F43">
        <v>0.36395</v>
      </c>
      <c r="H43">
        <v>0.35776000000000002</v>
      </c>
      <c r="J43">
        <v>0.34555000000000002</v>
      </c>
      <c r="L43">
        <v>0.31509999999999999</v>
      </c>
      <c r="N43">
        <v>0.28517999999999999</v>
      </c>
      <c r="P43">
        <v>0.25386999999999998</v>
      </c>
      <c r="R43">
        <v>0.22205</v>
      </c>
      <c r="T43">
        <v>0.16442999999999999</v>
      </c>
    </row>
    <row r="44" spans="2:20" x14ac:dyDescent="0.3">
      <c r="B44">
        <v>0.37634000000000001</v>
      </c>
      <c r="D44">
        <v>0.37014000000000002</v>
      </c>
      <c r="F44">
        <v>0.36395</v>
      </c>
      <c r="H44">
        <v>0.35793000000000003</v>
      </c>
      <c r="J44">
        <v>0.34555000000000002</v>
      </c>
      <c r="L44">
        <v>0.31526999999999999</v>
      </c>
      <c r="N44">
        <v>0.28517999999999999</v>
      </c>
      <c r="P44">
        <v>0.25369999999999998</v>
      </c>
      <c r="R44">
        <v>0.22205</v>
      </c>
      <c r="T44">
        <v>0.16442999999999999</v>
      </c>
    </row>
    <row r="45" spans="2:20" x14ac:dyDescent="0.3">
      <c r="B45">
        <v>0.37615999999999999</v>
      </c>
      <c r="D45">
        <v>0.37031999999999998</v>
      </c>
      <c r="F45">
        <v>0.36412</v>
      </c>
      <c r="H45">
        <v>0.35793000000000003</v>
      </c>
      <c r="J45">
        <v>0.34554000000000001</v>
      </c>
      <c r="L45">
        <v>0.31562000000000001</v>
      </c>
      <c r="N45">
        <v>0.28517999999999999</v>
      </c>
      <c r="P45">
        <v>0.25369999999999998</v>
      </c>
      <c r="R45">
        <v>0.22205</v>
      </c>
      <c r="T45">
        <v>0.1646</v>
      </c>
    </row>
    <row r="46" spans="2:20" x14ac:dyDescent="0.3">
      <c r="B46">
        <v>0.37615999999999999</v>
      </c>
      <c r="D46">
        <v>0.37031999999999998</v>
      </c>
      <c r="F46">
        <v>0.36413000000000001</v>
      </c>
      <c r="H46">
        <v>0.35809999999999997</v>
      </c>
      <c r="J46">
        <v>0.34572000000000003</v>
      </c>
      <c r="L46">
        <v>0.31579000000000002</v>
      </c>
      <c r="N46">
        <v>0.28517999999999999</v>
      </c>
      <c r="P46">
        <v>0.25352999999999998</v>
      </c>
      <c r="R46">
        <v>0.22222</v>
      </c>
      <c r="T46">
        <v>0.16461000000000001</v>
      </c>
    </row>
    <row r="47" spans="2:20" x14ac:dyDescent="0.3">
      <c r="B47">
        <v>0.37615999999999999</v>
      </c>
      <c r="D47">
        <v>0.37014000000000002</v>
      </c>
      <c r="F47">
        <v>0.36395</v>
      </c>
      <c r="H47">
        <v>0.35810999999999998</v>
      </c>
      <c r="J47">
        <v>0.34588999999999998</v>
      </c>
      <c r="L47">
        <v>0.31579000000000002</v>
      </c>
      <c r="N47">
        <v>0.28499999999999998</v>
      </c>
      <c r="P47">
        <v>0.25352999999999998</v>
      </c>
      <c r="R47">
        <v>0.22222</v>
      </c>
      <c r="T47">
        <v>0.16442999999999999</v>
      </c>
    </row>
    <row r="48" spans="2:20" x14ac:dyDescent="0.3">
      <c r="B48">
        <v>0.37634000000000001</v>
      </c>
      <c r="D48">
        <v>0.37014000000000002</v>
      </c>
      <c r="F48">
        <v>0.36395</v>
      </c>
      <c r="H48">
        <v>0.35793999999999998</v>
      </c>
      <c r="J48">
        <v>0.34588999999999998</v>
      </c>
      <c r="L48">
        <v>0.31579000000000002</v>
      </c>
      <c r="N48">
        <v>0.28499999999999998</v>
      </c>
      <c r="P48">
        <v>0.25352999999999998</v>
      </c>
      <c r="R48">
        <v>0.22239999999999999</v>
      </c>
      <c r="T48">
        <v>0.16444</v>
      </c>
    </row>
    <row r="49" spans="2:20" x14ac:dyDescent="0.3">
      <c r="B49">
        <v>0.37634000000000001</v>
      </c>
      <c r="D49">
        <v>0.37014000000000002</v>
      </c>
      <c r="F49">
        <v>0.36395</v>
      </c>
      <c r="H49">
        <v>0.35776000000000002</v>
      </c>
      <c r="J49">
        <v>0.34588999999999998</v>
      </c>
      <c r="L49">
        <v>0.31580000000000003</v>
      </c>
      <c r="N49">
        <v>0.28500999999999999</v>
      </c>
      <c r="P49">
        <v>0.25352999999999998</v>
      </c>
      <c r="R49">
        <v>0.22239</v>
      </c>
      <c r="T49">
        <v>0.16411000000000001</v>
      </c>
    </row>
    <row r="50" spans="2:20" x14ac:dyDescent="0.3">
      <c r="B50">
        <v>0.37634000000000001</v>
      </c>
      <c r="D50">
        <v>0.37014000000000002</v>
      </c>
      <c r="F50">
        <v>0.36395</v>
      </c>
      <c r="H50">
        <v>0.35776000000000002</v>
      </c>
      <c r="J50">
        <v>0.34589999999999999</v>
      </c>
      <c r="L50">
        <v>0.31545000000000001</v>
      </c>
      <c r="N50">
        <v>0.28483000000000003</v>
      </c>
      <c r="P50">
        <v>0.25352999999999998</v>
      </c>
      <c r="R50">
        <v>0.22256999999999999</v>
      </c>
      <c r="T50">
        <v>0.16203000000000001</v>
      </c>
    </row>
    <row r="51" spans="2:20" x14ac:dyDescent="0.3">
      <c r="B51">
        <v>0.37615999999999999</v>
      </c>
      <c r="D51">
        <v>0.37031999999999998</v>
      </c>
      <c r="F51">
        <v>0.36395</v>
      </c>
      <c r="H51">
        <v>0.35776000000000002</v>
      </c>
      <c r="J51">
        <v>0.34572000000000003</v>
      </c>
      <c r="L51">
        <v>0.31528</v>
      </c>
      <c r="N51">
        <v>0.28483000000000003</v>
      </c>
      <c r="P51">
        <v>0.25369999999999998</v>
      </c>
      <c r="R51">
        <v>0.22256999999999999</v>
      </c>
      <c r="T51">
        <v>0.16117000000000001</v>
      </c>
    </row>
    <row r="52" spans="2:20" x14ac:dyDescent="0.3">
      <c r="B52">
        <v>0.37617</v>
      </c>
      <c r="D52">
        <v>0.37031999999999998</v>
      </c>
      <c r="F52">
        <v>0.36412</v>
      </c>
      <c r="H52">
        <v>0.35776000000000002</v>
      </c>
      <c r="J52">
        <v>0.34555000000000002</v>
      </c>
      <c r="L52">
        <v>0.31509999999999999</v>
      </c>
      <c r="N52">
        <v>0.28499999999999998</v>
      </c>
      <c r="P52">
        <v>0.25386999999999998</v>
      </c>
      <c r="R52">
        <v>0.22239999999999999</v>
      </c>
      <c r="T52">
        <v>0.16064999999999999</v>
      </c>
    </row>
    <row r="53" spans="2:20" x14ac:dyDescent="0.3">
      <c r="B53">
        <v>0.37598999999999999</v>
      </c>
      <c r="D53">
        <v>0.37031999999999998</v>
      </c>
      <c r="F53">
        <v>0.36412</v>
      </c>
      <c r="H53">
        <v>0.35776000000000002</v>
      </c>
      <c r="J53">
        <v>0.34555000000000002</v>
      </c>
      <c r="L53">
        <v>0.31509999999999999</v>
      </c>
      <c r="N53">
        <v>0.28499999999999998</v>
      </c>
      <c r="P53">
        <v>0.25386999999999998</v>
      </c>
      <c r="R53">
        <v>0.22239999999999999</v>
      </c>
      <c r="T53">
        <v>0.16048000000000001</v>
      </c>
    </row>
    <row r="54" spans="2:20" x14ac:dyDescent="0.3">
      <c r="B54">
        <v>0.37615999999999999</v>
      </c>
      <c r="D54">
        <v>0.37031999999999998</v>
      </c>
      <c r="F54">
        <v>0.36412</v>
      </c>
      <c r="H54">
        <v>0.35793000000000003</v>
      </c>
      <c r="J54">
        <v>0.34555000000000002</v>
      </c>
      <c r="L54">
        <v>0.31509999999999999</v>
      </c>
      <c r="N54">
        <v>0.28517999999999999</v>
      </c>
      <c r="P54">
        <v>0.25403999999999999</v>
      </c>
      <c r="R54">
        <v>0.22239999999999999</v>
      </c>
      <c r="T54">
        <v>0.1603</v>
      </c>
    </row>
    <row r="55" spans="2:20" x14ac:dyDescent="0.3">
      <c r="B55">
        <v>0.37634000000000001</v>
      </c>
      <c r="D55">
        <v>0.37014000000000002</v>
      </c>
      <c r="F55">
        <v>0.36413000000000001</v>
      </c>
      <c r="H55">
        <v>0.35809999999999997</v>
      </c>
      <c r="J55">
        <v>0.34554000000000001</v>
      </c>
      <c r="L55">
        <v>0.31526999999999999</v>
      </c>
      <c r="N55">
        <v>0.28516999999999998</v>
      </c>
      <c r="P55">
        <v>0.25403999999999999</v>
      </c>
      <c r="R55">
        <v>0.22222</v>
      </c>
      <c r="T55">
        <v>0.1603</v>
      </c>
    </row>
    <row r="56" spans="2:20" x14ac:dyDescent="0.3">
      <c r="B56">
        <v>0.37634000000000001</v>
      </c>
      <c r="D56">
        <v>0.37014000000000002</v>
      </c>
      <c r="F56">
        <v>0.36395</v>
      </c>
      <c r="H56">
        <v>0.35810999999999998</v>
      </c>
      <c r="J56">
        <v>0.34572000000000003</v>
      </c>
      <c r="L56">
        <v>0.31544</v>
      </c>
      <c r="N56">
        <v>0.28534999999999999</v>
      </c>
      <c r="P56">
        <v>0.25403999999999999</v>
      </c>
      <c r="R56">
        <v>0.22223000000000001</v>
      </c>
      <c r="T56">
        <v>0.16048000000000001</v>
      </c>
    </row>
    <row r="57" spans="2:20" x14ac:dyDescent="0.3">
      <c r="B57">
        <v>0.37634000000000001</v>
      </c>
      <c r="D57">
        <v>0.37014000000000002</v>
      </c>
      <c r="F57">
        <v>0.36395</v>
      </c>
      <c r="H57">
        <v>0.35793000000000003</v>
      </c>
      <c r="J57">
        <v>0.34588999999999998</v>
      </c>
      <c r="L57">
        <v>0.31562000000000001</v>
      </c>
      <c r="N57">
        <v>0.28534999999999999</v>
      </c>
      <c r="P57">
        <v>0.25405</v>
      </c>
      <c r="R57">
        <v>0.22205</v>
      </c>
      <c r="T57">
        <v>0.16047</v>
      </c>
    </row>
    <row r="58" spans="2:20" x14ac:dyDescent="0.3">
      <c r="B58">
        <v>0.37634000000000001</v>
      </c>
      <c r="D58">
        <v>0.37014000000000002</v>
      </c>
      <c r="F58">
        <v>0.36395</v>
      </c>
      <c r="H58">
        <v>0.35793999999999998</v>
      </c>
      <c r="J58">
        <v>0.34588999999999998</v>
      </c>
      <c r="L58">
        <v>0.31579000000000002</v>
      </c>
      <c r="N58">
        <v>0.28534999999999999</v>
      </c>
      <c r="P58">
        <v>0.25386999999999998</v>
      </c>
      <c r="R58">
        <v>0.22205</v>
      </c>
      <c r="T58">
        <v>0.16081999999999999</v>
      </c>
    </row>
    <row r="59" spans="2:20" x14ac:dyDescent="0.3">
      <c r="B59">
        <v>0.37615999999999999</v>
      </c>
      <c r="D59">
        <v>0.37031999999999998</v>
      </c>
      <c r="F59">
        <v>0.36395</v>
      </c>
      <c r="H59">
        <v>0.35776000000000002</v>
      </c>
      <c r="J59">
        <v>0.34588999999999998</v>
      </c>
      <c r="L59">
        <v>0.31579000000000002</v>
      </c>
      <c r="N59">
        <v>0.28534999999999999</v>
      </c>
      <c r="P59">
        <v>0.25369999999999998</v>
      </c>
      <c r="R59">
        <v>0.22205</v>
      </c>
      <c r="T59">
        <v>0.16131999999999999</v>
      </c>
    </row>
    <row r="60" spans="2:20" x14ac:dyDescent="0.3">
      <c r="B60">
        <v>0.37615999999999999</v>
      </c>
      <c r="D60">
        <v>0.37031999999999998</v>
      </c>
      <c r="F60">
        <v>0.36412</v>
      </c>
      <c r="H60">
        <v>0.35776000000000002</v>
      </c>
      <c r="J60">
        <v>0.34589999999999999</v>
      </c>
      <c r="L60">
        <v>0.31580000000000003</v>
      </c>
      <c r="N60">
        <v>0.28534999999999999</v>
      </c>
      <c r="P60">
        <v>0.25369999999999998</v>
      </c>
      <c r="R60">
        <v>0.22205</v>
      </c>
      <c r="T60">
        <v>0.16303999999999999</v>
      </c>
    </row>
    <row r="61" spans="2:20" x14ac:dyDescent="0.3">
      <c r="B61">
        <v>0.37634000000000001</v>
      </c>
      <c r="D61">
        <v>0.37031999999999998</v>
      </c>
      <c r="F61">
        <v>0.36412</v>
      </c>
      <c r="H61">
        <v>0.35793000000000003</v>
      </c>
      <c r="J61">
        <v>0.34572000000000003</v>
      </c>
      <c r="L61">
        <v>0.31562000000000001</v>
      </c>
      <c r="N61">
        <v>0.28517999999999999</v>
      </c>
      <c r="P61">
        <v>0.25352999999999998</v>
      </c>
      <c r="R61">
        <v>0.22205</v>
      </c>
      <c r="T61">
        <v>0.16425999999999999</v>
      </c>
    </row>
    <row r="62" spans="2:20" x14ac:dyDescent="0.3">
      <c r="B62">
        <v>0.37633</v>
      </c>
      <c r="D62">
        <v>0.37014000000000002</v>
      </c>
      <c r="F62">
        <v>0.36412</v>
      </c>
      <c r="H62">
        <v>0.35793000000000003</v>
      </c>
      <c r="J62">
        <v>0.34555000000000002</v>
      </c>
      <c r="L62">
        <v>0.31545000000000001</v>
      </c>
      <c r="N62">
        <v>0.28517999999999999</v>
      </c>
      <c r="P62">
        <v>0.25352999999999998</v>
      </c>
      <c r="R62">
        <v>0.22222</v>
      </c>
      <c r="T62">
        <v>0.16442999999999999</v>
      </c>
    </row>
    <row r="63" spans="2:20" x14ac:dyDescent="0.3">
      <c r="B63">
        <v>0.37651000000000001</v>
      </c>
      <c r="D63">
        <v>0.37014000000000002</v>
      </c>
      <c r="F63">
        <v>0.36413000000000001</v>
      </c>
      <c r="H63">
        <v>0.35809999999999997</v>
      </c>
      <c r="J63">
        <v>0.34555000000000002</v>
      </c>
      <c r="L63">
        <v>0.31528</v>
      </c>
      <c r="N63">
        <v>0.28499999999999998</v>
      </c>
      <c r="P63">
        <v>0.25352999999999998</v>
      </c>
      <c r="R63">
        <v>0.22222</v>
      </c>
      <c r="T63">
        <v>0.1646</v>
      </c>
    </row>
    <row r="64" spans="2:20" x14ac:dyDescent="0.3">
      <c r="B64">
        <v>0.37634000000000001</v>
      </c>
      <c r="D64">
        <v>0.37014000000000002</v>
      </c>
      <c r="F64">
        <v>0.36395</v>
      </c>
      <c r="H64">
        <v>0.35809999999999997</v>
      </c>
      <c r="J64">
        <v>0.34555000000000002</v>
      </c>
      <c r="L64">
        <v>0.31509999999999999</v>
      </c>
      <c r="N64">
        <v>0.28499999999999998</v>
      </c>
      <c r="P64">
        <v>0.25352999999999998</v>
      </c>
      <c r="R64">
        <v>0.22239999999999999</v>
      </c>
      <c r="T64">
        <v>0.1646</v>
      </c>
    </row>
    <row r="65" spans="2:20" x14ac:dyDescent="0.3">
      <c r="B65">
        <v>0.37615999999999999</v>
      </c>
      <c r="D65">
        <v>0.37014000000000002</v>
      </c>
      <c r="F65">
        <v>0.36395</v>
      </c>
      <c r="H65">
        <v>0.35810999999999998</v>
      </c>
      <c r="J65">
        <v>0.34554000000000001</v>
      </c>
      <c r="L65">
        <v>0.31509999999999999</v>
      </c>
      <c r="N65">
        <v>0.28499999999999998</v>
      </c>
      <c r="P65">
        <v>0.25352999999999998</v>
      </c>
      <c r="R65">
        <v>0.22239999999999999</v>
      </c>
      <c r="T65">
        <v>0.16461000000000001</v>
      </c>
    </row>
    <row r="66" spans="2:20" x14ac:dyDescent="0.3">
      <c r="B66">
        <v>0.37615999999999999</v>
      </c>
      <c r="D66">
        <v>0.37031999999999998</v>
      </c>
      <c r="F66">
        <v>0.36395</v>
      </c>
      <c r="H66">
        <v>0.35793999999999998</v>
      </c>
      <c r="J66">
        <v>0.34572000000000003</v>
      </c>
      <c r="L66">
        <v>0.31509999999999999</v>
      </c>
      <c r="N66">
        <v>0.28499999999999998</v>
      </c>
      <c r="P66">
        <v>0.25369999999999998</v>
      </c>
      <c r="R66">
        <v>0.22239</v>
      </c>
      <c r="T66">
        <v>0.16442999999999999</v>
      </c>
    </row>
    <row r="67" spans="2:20" x14ac:dyDescent="0.3">
      <c r="B67">
        <v>0.37615999999999999</v>
      </c>
      <c r="D67">
        <v>0.37031999999999998</v>
      </c>
      <c r="F67">
        <v>0.36395</v>
      </c>
      <c r="H67">
        <v>0.35776000000000002</v>
      </c>
      <c r="J67">
        <v>0.34588999999999998</v>
      </c>
      <c r="L67">
        <v>0.31526999999999999</v>
      </c>
      <c r="N67">
        <v>0.28516999999999998</v>
      </c>
      <c r="P67">
        <v>0.25386999999999998</v>
      </c>
      <c r="R67">
        <v>0.22256999999999999</v>
      </c>
      <c r="T67">
        <v>0.16425999999999999</v>
      </c>
    </row>
    <row r="68" spans="2:20" x14ac:dyDescent="0.3">
      <c r="B68">
        <v>0.37634000000000001</v>
      </c>
      <c r="D68">
        <v>0.37031999999999998</v>
      </c>
      <c r="F68">
        <v>0.36412</v>
      </c>
      <c r="H68">
        <v>0.35776000000000002</v>
      </c>
      <c r="J68">
        <v>0.34588999999999998</v>
      </c>
      <c r="L68">
        <v>0.31544</v>
      </c>
      <c r="N68">
        <v>0.28534999999999999</v>
      </c>
      <c r="P68">
        <v>0.25386999999999998</v>
      </c>
      <c r="R68">
        <v>0.22256999999999999</v>
      </c>
      <c r="T68">
        <v>0.16411000000000001</v>
      </c>
    </row>
    <row r="69" spans="2:20" x14ac:dyDescent="0.3">
      <c r="B69">
        <v>0.37634000000000001</v>
      </c>
      <c r="D69">
        <v>0.37031999999999998</v>
      </c>
      <c r="F69">
        <v>0.36412</v>
      </c>
      <c r="H69">
        <v>0.35776000000000002</v>
      </c>
      <c r="J69">
        <v>0.34588999999999998</v>
      </c>
      <c r="L69">
        <v>0.31562000000000001</v>
      </c>
      <c r="N69">
        <v>0.28534999999999999</v>
      </c>
      <c r="P69">
        <v>0.25403999999999999</v>
      </c>
      <c r="R69">
        <v>0.22239999999999999</v>
      </c>
      <c r="T69">
        <v>0.16203000000000001</v>
      </c>
    </row>
    <row r="70" spans="2:20" x14ac:dyDescent="0.3">
      <c r="B70">
        <v>0.37634000000000001</v>
      </c>
      <c r="D70">
        <v>0.37014000000000002</v>
      </c>
      <c r="F70">
        <v>0.36412</v>
      </c>
      <c r="H70">
        <v>0.35793000000000003</v>
      </c>
      <c r="J70">
        <v>0.34589999999999999</v>
      </c>
      <c r="L70">
        <v>0.31579000000000002</v>
      </c>
      <c r="N70">
        <v>0.28534999999999999</v>
      </c>
      <c r="P70">
        <v>0.25403999999999999</v>
      </c>
      <c r="R70">
        <v>0.22239999999999999</v>
      </c>
      <c r="T70">
        <v>0.161</v>
      </c>
    </row>
    <row r="71" spans="2:20" x14ac:dyDescent="0.3">
      <c r="B71">
        <v>0.37634000000000001</v>
      </c>
      <c r="D71">
        <v>0.37014000000000002</v>
      </c>
      <c r="F71">
        <v>0.36412</v>
      </c>
      <c r="H71">
        <v>0.35793000000000003</v>
      </c>
      <c r="J71">
        <v>0.34572000000000003</v>
      </c>
      <c r="L71">
        <v>0.31596999999999997</v>
      </c>
      <c r="N71">
        <v>0.28534999999999999</v>
      </c>
      <c r="P71">
        <v>0.25403999999999999</v>
      </c>
      <c r="R71">
        <v>0.22222</v>
      </c>
      <c r="T71">
        <v>0.16064999999999999</v>
      </c>
    </row>
    <row r="72" spans="2:20" x14ac:dyDescent="0.3">
      <c r="B72">
        <v>0.37617</v>
      </c>
      <c r="D72">
        <v>0.37031999999999998</v>
      </c>
      <c r="F72">
        <v>0.36413000000000001</v>
      </c>
      <c r="H72">
        <v>0.35809999999999997</v>
      </c>
      <c r="J72">
        <v>0.34555000000000002</v>
      </c>
      <c r="L72">
        <v>0.31580000000000003</v>
      </c>
      <c r="N72">
        <v>0.28534999999999999</v>
      </c>
      <c r="P72">
        <v>0.25405</v>
      </c>
      <c r="R72">
        <v>0.22222</v>
      </c>
      <c r="T72">
        <v>0.16048000000000001</v>
      </c>
    </row>
    <row r="73" spans="2:20" x14ac:dyDescent="0.3">
      <c r="B73">
        <v>0.37598999999999999</v>
      </c>
      <c r="D73">
        <v>0.37031999999999998</v>
      </c>
      <c r="F73">
        <v>0.36395</v>
      </c>
      <c r="H73">
        <v>0.35810999999999998</v>
      </c>
      <c r="J73">
        <v>0.34537000000000001</v>
      </c>
      <c r="L73">
        <v>0.31562000000000001</v>
      </c>
      <c r="N73">
        <v>0.28534999999999999</v>
      </c>
      <c r="P73">
        <v>0.25386999999999998</v>
      </c>
      <c r="R73">
        <v>0.22223000000000001</v>
      </c>
      <c r="T73">
        <v>0.16048000000000001</v>
      </c>
    </row>
    <row r="74" spans="2:20" x14ac:dyDescent="0.3">
      <c r="B74">
        <v>0.37615999999999999</v>
      </c>
      <c r="D74">
        <v>0.37031999999999998</v>
      </c>
      <c r="F74">
        <v>0.36395</v>
      </c>
      <c r="H74">
        <v>0.35793000000000003</v>
      </c>
      <c r="J74">
        <v>0.34555000000000002</v>
      </c>
      <c r="L74">
        <v>0.31545000000000001</v>
      </c>
      <c r="N74">
        <v>0.28534999999999999</v>
      </c>
      <c r="P74">
        <v>0.25386999999999998</v>
      </c>
      <c r="R74">
        <v>0.22205</v>
      </c>
      <c r="T74">
        <v>0.1603</v>
      </c>
    </row>
    <row r="75" spans="2:20" x14ac:dyDescent="0.3">
      <c r="B75">
        <v>0.37634000000000001</v>
      </c>
      <c r="D75">
        <v>0.37031999999999998</v>
      </c>
      <c r="F75">
        <v>0.36412</v>
      </c>
      <c r="H75">
        <v>0.35793999999999998</v>
      </c>
      <c r="J75">
        <v>0.34554000000000001</v>
      </c>
      <c r="L75">
        <v>0.31528</v>
      </c>
      <c r="N75">
        <v>0.28534999999999999</v>
      </c>
      <c r="P75">
        <v>0.25369999999999998</v>
      </c>
      <c r="R75">
        <v>0.22205</v>
      </c>
      <c r="T75">
        <v>0.16048000000000001</v>
      </c>
    </row>
    <row r="76" spans="2:20" x14ac:dyDescent="0.3">
      <c r="B76">
        <v>0.37634000000000001</v>
      </c>
      <c r="D76">
        <v>0.37031999999999998</v>
      </c>
      <c r="F76">
        <v>0.36412</v>
      </c>
      <c r="H76">
        <v>0.35776000000000002</v>
      </c>
      <c r="J76">
        <v>0.34572000000000003</v>
      </c>
      <c r="L76">
        <v>0.31509999999999999</v>
      </c>
      <c r="N76">
        <v>0.28517999999999999</v>
      </c>
      <c r="P76">
        <v>0.25369999999999998</v>
      </c>
      <c r="R76">
        <v>0.22205</v>
      </c>
      <c r="T76">
        <v>0.16047</v>
      </c>
    </row>
    <row r="77" spans="2:20" x14ac:dyDescent="0.3">
      <c r="B77">
        <v>0.37634000000000001</v>
      </c>
      <c r="D77">
        <v>0.37031999999999998</v>
      </c>
      <c r="F77">
        <v>0.36412</v>
      </c>
      <c r="H77">
        <v>0.35776000000000002</v>
      </c>
      <c r="J77">
        <v>0.34588999999999998</v>
      </c>
      <c r="L77">
        <v>0.31509999999999999</v>
      </c>
      <c r="N77">
        <v>0.28517999999999999</v>
      </c>
      <c r="P77">
        <v>0.25352999999999998</v>
      </c>
      <c r="R77">
        <v>0.22205</v>
      </c>
      <c r="T77">
        <v>0.16081000000000001</v>
      </c>
    </row>
    <row r="78" spans="2:20" x14ac:dyDescent="0.3">
      <c r="B78">
        <v>0.37615999999999999</v>
      </c>
      <c r="D78">
        <v>0.37014000000000002</v>
      </c>
      <c r="F78">
        <v>0.36412</v>
      </c>
      <c r="H78">
        <v>0.35793000000000003</v>
      </c>
      <c r="J78">
        <v>0.34589999999999999</v>
      </c>
      <c r="L78">
        <v>0.31526999999999999</v>
      </c>
      <c r="N78">
        <v>0.28517999999999999</v>
      </c>
      <c r="P78">
        <v>0.25352999999999998</v>
      </c>
      <c r="R78">
        <v>0.22205</v>
      </c>
      <c r="T78">
        <v>0.16148999999999999</v>
      </c>
    </row>
    <row r="79" spans="2:20" x14ac:dyDescent="0.3">
      <c r="B79">
        <v>0.37615999999999999</v>
      </c>
      <c r="D79">
        <v>0.37014000000000002</v>
      </c>
      <c r="F79">
        <v>0.36412</v>
      </c>
      <c r="H79">
        <v>0.35809999999999997</v>
      </c>
      <c r="J79">
        <v>0.34572000000000003</v>
      </c>
      <c r="L79">
        <v>0.31544</v>
      </c>
      <c r="N79">
        <v>0.28517999999999999</v>
      </c>
      <c r="P79">
        <v>0.25352999999999998</v>
      </c>
      <c r="R79">
        <v>0.22222</v>
      </c>
      <c r="T79">
        <v>0.16322</v>
      </c>
    </row>
    <row r="80" spans="2:20" x14ac:dyDescent="0.3">
      <c r="B80">
        <v>0.37615999999999999</v>
      </c>
      <c r="D80">
        <v>0.37014000000000002</v>
      </c>
      <c r="F80">
        <v>0.36412</v>
      </c>
      <c r="H80">
        <v>0.35809999999999997</v>
      </c>
      <c r="J80">
        <v>0.34572000000000003</v>
      </c>
      <c r="L80">
        <v>0.31562000000000001</v>
      </c>
      <c r="N80">
        <v>0.28516999999999998</v>
      </c>
      <c r="P80">
        <v>0.25369999999999998</v>
      </c>
      <c r="R80">
        <v>0.22222</v>
      </c>
      <c r="T80">
        <v>0.16425999999999999</v>
      </c>
    </row>
    <row r="81" spans="2:20" x14ac:dyDescent="0.3">
      <c r="B81">
        <v>0.37615999999999999</v>
      </c>
      <c r="D81">
        <v>0.37031999999999998</v>
      </c>
      <c r="F81">
        <v>0.36412</v>
      </c>
      <c r="H81">
        <v>0.35827999999999999</v>
      </c>
      <c r="J81">
        <v>0.34555000000000002</v>
      </c>
      <c r="L81">
        <v>0.31579000000000002</v>
      </c>
      <c r="N81">
        <v>0.28534999999999999</v>
      </c>
      <c r="P81">
        <v>0.25369999999999998</v>
      </c>
      <c r="R81">
        <v>0.22239999999999999</v>
      </c>
      <c r="T81">
        <v>0.16442999999999999</v>
      </c>
    </row>
    <row r="82" spans="2:20" x14ac:dyDescent="0.3">
      <c r="B82">
        <v>0.37633</v>
      </c>
      <c r="D82">
        <v>0.37031999999999998</v>
      </c>
      <c r="F82">
        <v>0.36412</v>
      </c>
      <c r="H82">
        <v>0.35809999999999997</v>
      </c>
      <c r="J82">
        <v>0.34538000000000002</v>
      </c>
      <c r="L82">
        <v>0.31596000000000002</v>
      </c>
      <c r="N82">
        <v>0.28534999999999999</v>
      </c>
      <c r="P82">
        <v>0.25386999999999998</v>
      </c>
      <c r="R82">
        <v>0.22239999999999999</v>
      </c>
      <c r="T82">
        <v>0.1646</v>
      </c>
    </row>
    <row r="83" spans="2:20" x14ac:dyDescent="0.3">
      <c r="B83">
        <v>0.37651000000000001</v>
      </c>
      <c r="D83">
        <v>0.37031999999999998</v>
      </c>
      <c r="F83">
        <v>0.36412</v>
      </c>
      <c r="H83">
        <v>0.35810999999999998</v>
      </c>
      <c r="J83">
        <v>0.34537000000000001</v>
      </c>
      <c r="L83">
        <v>0.31596000000000002</v>
      </c>
      <c r="N83">
        <v>0.28534999999999999</v>
      </c>
      <c r="P83">
        <v>0.25386999999999998</v>
      </c>
      <c r="R83">
        <v>0.22239999999999999</v>
      </c>
      <c r="T83">
        <v>0.1646</v>
      </c>
    </row>
    <row r="84" spans="2:20" x14ac:dyDescent="0.3">
      <c r="B84">
        <v>0.37651000000000001</v>
      </c>
      <c r="D84">
        <v>0.37014000000000002</v>
      </c>
      <c r="F84">
        <v>0.36412</v>
      </c>
      <c r="H84">
        <v>0.35793000000000003</v>
      </c>
      <c r="J84">
        <v>0.34554000000000001</v>
      </c>
      <c r="L84">
        <v>0.31596999999999997</v>
      </c>
      <c r="N84">
        <v>0.28534999999999999</v>
      </c>
      <c r="P84">
        <v>0.25405</v>
      </c>
      <c r="R84">
        <v>0.22239999999999999</v>
      </c>
      <c r="T84">
        <v>0.16461000000000001</v>
      </c>
    </row>
    <row r="85" spans="2:20" x14ac:dyDescent="0.3">
      <c r="B85">
        <v>0.37634000000000001</v>
      </c>
      <c r="D85">
        <v>0.37014000000000002</v>
      </c>
      <c r="F85">
        <v>0.36412</v>
      </c>
      <c r="H85">
        <v>0.35793000000000003</v>
      </c>
      <c r="J85">
        <v>0.34572000000000003</v>
      </c>
      <c r="L85">
        <v>0.31580000000000003</v>
      </c>
      <c r="N85">
        <v>0.28534999999999999</v>
      </c>
      <c r="P85">
        <v>0.25386999999999998</v>
      </c>
      <c r="R85">
        <v>0.22239999999999999</v>
      </c>
      <c r="T85">
        <v>0.16442999999999999</v>
      </c>
    </row>
    <row r="86" spans="2:20" x14ac:dyDescent="0.3">
      <c r="B86">
        <v>0.37615999999999999</v>
      </c>
      <c r="D86">
        <v>0.37014000000000002</v>
      </c>
      <c r="F86">
        <v>0.36412</v>
      </c>
      <c r="H86">
        <v>0.35793000000000003</v>
      </c>
      <c r="J86">
        <v>0.34588999999999998</v>
      </c>
      <c r="L86">
        <v>0.31562000000000001</v>
      </c>
      <c r="N86">
        <v>0.28534999999999999</v>
      </c>
      <c r="P86">
        <v>0.25386999999999998</v>
      </c>
      <c r="R86">
        <v>0.22239999999999999</v>
      </c>
      <c r="T86">
        <v>0.16425999999999999</v>
      </c>
    </row>
    <row r="87" spans="2:20" x14ac:dyDescent="0.3">
      <c r="B87">
        <v>0.37634000000000001</v>
      </c>
      <c r="D87">
        <v>0.37014000000000002</v>
      </c>
      <c r="F87">
        <v>0.36412</v>
      </c>
      <c r="H87">
        <v>0.35809999999999997</v>
      </c>
      <c r="J87">
        <v>0.34605999999999998</v>
      </c>
      <c r="L87">
        <v>0.31545000000000001</v>
      </c>
      <c r="N87">
        <v>0.28534999999999999</v>
      </c>
      <c r="P87">
        <v>0.25403999999999999</v>
      </c>
      <c r="R87">
        <v>0.22222</v>
      </c>
      <c r="T87">
        <v>0.16394</v>
      </c>
    </row>
    <row r="88" spans="2:20" x14ac:dyDescent="0.3">
      <c r="B88">
        <v>0.37633</v>
      </c>
      <c r="D88">
        <v>0.37031999999999998</v>
      </c>
      <c r="F88">
        <v>0.36412</v>
      </c>
      <c r="H88">
        <v>0.35809999999999997</v>
      </c>
      <c r="J88">
        <v>0.34606999999999999</v>
      </c>
      <c r="L88">
        <v>0.31528</v>
      </c>
      <c r="N88">
        <v>0.28534999999999999</v>
      </c>
      <c r="P88">
        <v>0.25405</v>
      </c>
      <c r="R88">
        <v>0.22223000000000001</v>
      </c>
      <c r="T88">
        <v>0.16186</v>
      </c>
    </row>
    <row r="89" spans="2:20" x14ac:dyDescent="0.3">
      <c r="B89">
        <v>0.37651000000000001</v>
      </c>
      <c r="D89">
        <v>0.37031999999999998</v>
      </c>
      <c r="F89">
        <v>0.36412</v>
      </c>
      <c r="H89">
        <v>0.35827999999999999</v>
      </c>
      <c r="J89">
        <v>0.34589999999999999</v>
      </c>
      <c r="L89">
        <v>0.31528</v>
      </c>
      <c r="N89">
        <v>0.28534999999999999</v>
      </c>
      <c r="P89">
        <v>0.25386999999999998</v>
      </c>
      <c r="R89">
        <v>0.22205</v>
      </c>
      <c r="T89">
        <v>0.161</v>
      </c>
    </row>
    <row r="90" spans="2:20" x14ac:dyDescent="0.3">
      <c r="B90">
        <v>0.37651000000000001</v>
      </c>
      <c r="D90">
        <v>0.37031999999999998</v>
      </c>
      <c r="F90">
        <v>0.36412</v>
      </c>
      <c r="H90">
        <v>0.35827999999999999</v>
      </c>
      <c r="J90">
        <v>0.34572000000000003</v>
      </c>
      <c r="L90">
        <v>0.31526999999999999</v>
      </c>
      <c r="N90">
        <v>0.28534999999999999</v>
      </c>
      <c r="P90">
        <v>0.25369999999999998</v>
      </c>
      <c r="R90">
        <v>0.22205</v>
      </c>
      <c r="T90">
        <v>0.16064999999999999</v>
      </c>
    </row>
    <row r="91" spans="2:20" x14ac:dyDescent="0.3">
      <c r="B91">
        <v>0.37634000000000001</v>
      </c>
      <c r="D91">
        <v>0.37031999999999998</v>
      </c>
      <c r="F91">
        <v>0.36412</v>
      </c>
      <c r="H91">
        <v>0.35810999999999998</v>
      </c>
      <c r="J91">
        <v>0.34572000000000003</v>
      </c>
      <c r="L91">
        <v>0.31544</v>
      </c>
      <c r="N91">
        <v>0.28517999999999999</v>
      </c>
      <c r="P91">
        <v>0.25369999999999998</v>
      </c>
      <c r="R91">
        <v>0.22205</v>
      </c>
      <c r="T91">
        <v>0.16048000000000001</v>
      </c>
    </row>
    <row r="92" spans="2:20" x14ac:dyDescent="0.3">
      <c r="B92">
        <v>0.37634000000000001</v>
      </c>
      <c r="D92">
        <v>0.37014000000000002</v>
      </c>
      <c r="F92">
        <v>0.36412</v>
      </c>
      <c r="H92">
        <v>0.35793000000000003</v>
      </c>
      <c r="J92">
        <v>0.34555000000000002</v>
      </c>
      <c r="L92">
        <v>0.31562000000000001</v>
      </c>
      <c r="N92">
        <v>0.28516999999999998</v>
      </c>
      <c r="P92">
        <v>0.25352999999999998</v>
      </c>
      <c r="R92">
        <v>0.22205</v>
      </c>
      <c r="T92">
        <v>0.16048000000000001</v>
      </c>
    </row>
    <row r="93" spans="2:20" x14ac:dyDescent="0.3">
      <c r="B93">
        <v>0.37615999999999999</v>
      </c>
      <c r="D93">
        <v>0.37014000000000002</v>
      </c>
      <c r="F93">
        <v>0.36412</v>
      </c>
      <c r="H93">
        <v>0.35793999999999998</v>
      </c>
      <c r="J93">
        <v>0.34554000000000001</v>
      </c>
      <c r="L93">
        <v>0.31579000000000002</v>
      </c>
      <c r="N93">
        <v>0.28534999999999999</v>
      </c>
      <c r="P93">
        <v>0.25352999999999998</v>
      </c>
      <c r="R93">
        <v>0.22205</v>
      </c>
      <c r="T93">
        <v>0.1603</v>
      </c>
    </row>
    <row r="94" spans="2:20" x14ac:dyDescent="0.3">
      <c r="B94">
        <v>0.37634000000000001</v>
      </c>
      <c r="D94">
        <v>0.37014000000000002</v>
      </c>
      <c r="F94">
        <v>0.36412</v>
      </c>
      <c r="H94">
        <v>0.35776000000000002</v>
      </c>
      <c r="J94">
        <v>0.34572000000000003</v>
      </c>
      <c r="L94">
        <v>0.31596000000000002</v>
      </c>
      <c r="N94">
        <v>0.28534999999999999</v>
      </c>
      <c r="P94">
        <v>0.25352999999999998</v>
      </c>
      <c r="R94">
        <v>0.22205</v>
      </c>
      <c r="T94">
        <v>0.16048000000000001</v>
      </c>
    </row>
    <row r="95" spans="2:20" x14ac:dyDescent="0.3">
      <c r="B95">
        <v>0.37633</v>
      </c>
      <c r="D95">
        <v>0.37014000000000002</v>
      </c>
      <c r="F95">
        <v>0.36412</v>
      </c>
      <c r="H95">
        <v>0.35793000000000003</v>
      </c>
      <c r="J95">
        <v>0.34588999999999998</v>
      </c>
      <c r="L95">
        <v>0.31596000000000002</v>
      </c>
      <c r="N95">
        <v>0.28534999999999999</v>
      </c>
      <c r="P95">
        <v>0.25352999999999998</v>
      </c>
      <c r="R95">
        <v>0.22205</v>
      </c>
      <c r="T95">
        <v>0.16047</v>
      </c>
    </row>
    <row r="96" spans="2:20" x14ac:dyDescent="0.3">
      <c r="B96">
        <v>0.37651000000000001</v>
      </c>
      <c r="D96">
        <v>0.37031999999999998</v>
      </c>
      <c r="F96">
        <v>0.36412</v>
      </c>
      <c r="H96">
        <v>0.35793000000000003</v>
      </c>
      <c r="J96">
        <v>0.34605999999999998</v>
      </c>
      <c r="L96">
        <v>0.31596999999999997</v>
      </c>
      <c r="N96">
        <v>0.28534999999999999</v>
      </c>
      <c r="P96">
        <v>0.25369999999999998</v>
      </c>
      <c r="R96">
        <v>0.22222</v>
      </c>
      <c r="T96">
        <v>0.16081999999999999</v>
      </c>
    </row>
    <row r="97" spans="2:20" x14ac:dyDescent="0.3">
      <c r="B97">
        <v>0.37651000000000001</v>
      </c>
      <c r="D97">
        <v>0.37031999999999998</v>
      </c>
      <c r="F97">
        <v>0.36412</v>
      </c>
      <c r="H97">
        <v>0.35809999999999997</v>
      </c>
      <c r="J97">
        <v>0.34605999999999998</v>
      </c>
      <c r="L97">
        <v>0.31580000000000003</v>
      </c>
      <c r="N97">
        <v>0.28534999999999999</v>
      </c>
      <c r="P97">
        <v>0.25369999999999998</v>
      </c>
      <c r="R97">
        <v>0.22222</v>
      </c>
      <c r="T97">
        <v>0.16131999999999999</v>
      </c>
    </row>
    <row r="98" spans="2:20" x14ac:dyDescent="0.3">
      <c r="B98">
        <v>0.37634000000000001</v>
      </c>
      <c r="D98">
        <v>0.37031999999999998</v>
      </c>
      <c r="F98">
        <v>0.36412</v>
      </c>
      <c r="H98">
        <v>0.35809999999999997</v>
      </c>
      <c r="J98">
        <v>0.34606999999999999</v>
      </c>
      <c r="L98">
        <v>0.31562000000000001</v>
      </c>
      <c r="N98">
        <v>0.28534999999999999</v>
      </c>
      <c r="P98">
        <v>0.25386999999999998</v>
      </c>
      <c r="R98">
        <v>0.22239999999999999</v>
      </c>
      <c r="T98">
        <v>0.16322</v>
      </c>
    </row>
    <row r="99" spans="2:20" x14ac:dyDescent="0.3">
      <c r="B99">
        <v>0.37615999999999999</v>
      </c>
      <c r="D99">
        <v>0.37014000000000002</v>
      </c>
      <c r="F99">
        <v>0.36412</v>
      </c>
      <c r="H99">
        <v>0.35809999999999997</v>
      </c>
      <c r="J99">
        <v>0.34589999999999999</v>
      </c>
      <c r="L99">
        <v>0.31545000000000001</v>
      </c>
      <c r="N99">
        <v>0.28534999999999999</v>
      </c>
      <c r="P99">
        <v>0.25386999999999998</v>
      </c>
      <c r="R99">
        <v>0.22239999999999999</v>
      </c>
      <c r="T99">
        <v>0.16425999999999999</v>
      </c>
    </row>
    <row r="100" spans="2:20" x14ac:dyDescent="0.3">
      <c r="B100">
        <v>0.37615999999999999</v>
      </c>
      <c r="D100">
        <v>0.37014999999999998</v>
      </c>
      <c r="F100">
        <v>0.36412</v>
      </c>
      <c r="H100">
        <v>0.35810999999999998</v>
      </c>
      <c r="J100">
        <v>0.34572000000000003</v>
      </c>
      <c r="L100">
        <v>0.31528</v>
      </c>
      <c r="N100">
        <v>0.28534999999999999</v>
      </c>
      <c r="P100">
        <v>0.25403999999999999</v>
      </c>
      <c r="R100">
        <v>0.22239999999999999</v>
      </c>
      <c r="T100">
        <v>0.16442999999999999</v>
      </c>
    </row>
    <row r="101" spans="2:20" x14ac:dyDescent="0.3">
      <c r="B101">
        <v>0.37634000000000001</v>
      </c>
      <c r="D101">
        <v>0.36997000000000002</v>
      </c>
      <c r="F101">
        <v>0.36412</v>
      </c>
      <c r="H101">
        <v>0.35793000000000003</v>
      </c>
      <c r="J101">
        <v>0.34572000000000003</v>
      </c>
      <c r="L101">
        <v>0.31526999999999999</v>
      </c>
      <c r="N101">
        <v>0.28534999999999999</v>
      </c>
      <c r="P101">
        <v>0.25403999999999999</v>
      </c>
      <c r="R101">
        <v>0.22239999999999999</v>
      </c>
      <c r="T101">
        <v>0.1646</v>
      </c>
    </row>
    <row r="102" spans="2:20" x14ac:dyDescent="0.3">
      <c r="B102">
        <v>0.37633</v>
      </c>
      <c r="D102">
        <v>0.37014000000000002</v>
      </c>
      <c r="F102">
        <v>0.36412</v>
      </c>
      <c r="H102">
        <v>0.35793000000000003</v>
      </c>
      <c r="J102">
        <v>0.34572000000000003</v>
      </c>
      <c r="L102">
        <v>0.31544</v>
      </c>
      <c r="N102">
        <v>0.28534999999999999</v>
      </c>
      <c r="P102">
        <v>0.25405</v>
      </c>
      <c r="R102">
        <v>0.22239999999999999</v>
      </c>
      <c r="T102">
        <v>0.1646</v>
      </c>
    </row>
    <row r="103" spans="2:20" x14ac:dyDescent="0.3">
      <c r="B103">
        <v>0.37651000000000001</v>
      </c>
      <c r="D103">
        <v>0.37014000000000002</v>
      </c>
      <c r="F103">
        <v>0.36412</v>
      </c>
      <c r="H103">
        <v>0.35793000000000003</v>
      </c>
      <c r="J103">
        <v>0.34572000000000003</v>
      </c>
      <c r="L103">
        <v>0.31562000000000001</v>
      </c>
      <c r="N103">
        <v>0.28517999999999999</v>
      </c>
      <c r="P103">
        <v>0.25386999999999998</v>
      </c>
      <c r="R103">
        <v>0.22239999999999999</v>
      </c>
      <c r="T103">
        <v>0.16461000000000001</v>
      </c>
    </row>
    <row r="104" spans="2:20" x14ac:dyDescent="0.3">
      <c r="B104">
        <v>0.37651000000000001</v>
      </c>
      <c r="D104">
        <v>0.37014000000000002</v>
      </c>
      <c r="F104">
        <v>0.36413000000000001</v>
      </c>
      <c r="H104">
        <v>0.35793000000000003</v>
      </c>
      <c r="J104">
        <v>0.34588999999999998</v>
      </c>
      <c r="L104">
        <v>0.31579000000000002</v>
      </c>
      <c r="N104">
        <v>0.28517999999999999</v>
      </c>
      <c r="P104">
        <v>0.25386999999999998</v>
      </c>
      <c r="R104">
        <v>0.22222</v>
      </c>
      <c r="T104">
        <v>0.16442999999999999</v>
      </c>
    </row>
    <row r="105" spans="2:20" x14ac:dyDescent="0.3">
      <c r="B105">
        <v>0.37634000000000001</v>
      </c>
      <c r="D105">
        <v>0.37014000000000002</v>
      </c>
      <c r="F105">
        <v>0.36395</v>
      </c>
      <c r="H105">
        <v>0.35809999999999997</v>
      </c>
      <c r="J105">
        <v>0.34605999999999998</v>
      </c>
      <c r="L105">
        <v>0.31596000000000002</v>
      </c>
      <c r="N105">
        <v>0.28517999999999999</v>
      </c>
      <c r="P105">
        <v>0.25369999999999998</v>
      </c>
      <c r="R105">
        <v>0.22223000000000001</v>
      </c>
      <c r="T105">
        <v>0.16427</v>
      </c>
    </row>
    <row r="106" spans="2:20" x14ac:dyDescent="0.3">
      <c r="B106">
        <v>0.37615999999999999</v>
      </c>
      <c r="D106">
        <v>0.37014000000000002</v>
      </c>
      <c r="F106">
        <v>0.36395</v>
      </c>
      <c r="H106">
        <v>0.35827999999999999</v>
      </c>
      <c r="J106">
        <v>0.34605999999999998</v>
      </c>
      <c r="L106">
        <v>0.31596000000000002</v>
      </c>
      <c r="N106">
        <v>0.28517999999999999</v>
      </c>
      <c r="P106">
        <v>0.25352999999999998</v>
      </c>
      <c r="R106">
        <v>0.22205</v>
      </c>
      <c r="T106">
        <v>0.16359000000000001</v>
      </c>
    </row>
    <row r="107" spans="2:20" x14ac:dyDescent="0.3">
      <c r="B107">
        <v>0.37615999999999999</v>
      </c>
      <c r="D107">
        <v>0.37014000000000002</v>
      </c>
      <c r="F107">
        <v>0.36412</v>
      </c>
      <c r="H107">
        <v>0.35827999999999999</v>
      </c>
      <c r="J107">
        <v>0.34605999999999998</v>
      </c>
      <c r="L107">
        <v>0.31596000000000002</v>
      </c>
      <c r="N107">
        <v>0.28516999999999998</v>
      </c>
      <c r="P107">
        <v>0.25352999999999998</v>
      </c>
      <c r="R107">
        <v>0.22205</v>
      </c>
      <c r="T107">
        <v>0.16169</v>
      </c>
    </row>
    <row r="108" spans="2:20" x14ac:dyDescent="0.3">
      <c r="B108">
        <v>0.37634000000000001</v>
      </c>
      <c r="D108">
        <v>0.37014000000000002</v>
      </c>
      <c r="F108">
        <v>0.36412</v>
      </c>
      <c r="H108">
        <v>0.35810999999999998</v>
      </c>
      <c r="J108">
        <v>0.34606999999999999</v>
      </c>
      <c r="L108">
        <v>0.31596999999999997</v>
      </c>
      <c r="N108">
        <v>0.28534999999999999</v>
      </c>
      <c r="P108">
        <v>0.25352999999999998</v>
      </c>
      <c r="R108">
        <v>0.22205</v>
      </c>
      <c r="T108">
        <v>0.16081999999999999</v>
      </c>
    </row>
    <row r="109" spans="2:20" x14ac:dyDescent="0.3">
      <c r="B109">
        <v>0.37633</v>
      </c>
      <c r="D109">
        <v>0.37014000000000002</v>
      </c>
      <c r="F109">
        <v>0.36412</v>
      </c>
      <c r="H109">
        <v>0.35793000000000003</v>
      </c>
      <c r="J109">
        <v>0.34588999999999998</v>
      </c>
      <c r="L109">
        <v>0.31580000000000003</v>
      </c>
      <c r="N109">
        <v>0.28534999999999999</v>
      </c>
      <c r="P109">
        <v>0.25352999999999998</v>
      </c>
      <c r="R109">
        <v>0.22205</v>
      </c>
      <c r="T109">
        <v>0.16048000000000001</v>
      </c>
    </row>
    <row r="110" spans="2:20" x14ac:dyDescent="0.3">
      <c r="B110">
        <v>0.37651000000000001</v>
      </c>
      <c r="D110">
        <v>0.37014000000000002</v>
      </c>
      <c r="F110">
        <v>0.36412</v>
      </c>
      <c r="H110">
        <v>0.35793000000000003</v>
      </c>
      <c r="J110">
        <v>0.34589999999999999</v>
      </c>
      <c r="L110">
        <v>0.31545000000000001</v>
      </c>
      <c r="N110">
        <v>0.28534999999999999</v>
      </c>
      <c r="P110">
        <v>0.25352999999999998</v>
      </c>
      <c r="R110">
        <v>0.22205</v>
      </c>
      <c r="T110">
        <v>0.16048000000000001</v>
      </c>
    </row>
    <row r="111" spans="2:20" x14ac:dyDescent="0.3">
      <c r="B111">
        <v>0.37634000000000001</v>
      </c>
      <c r="D111">
        <v>0.37031999999999998</v>
      </c>
      <c r="F111">
        <v>0.36412</v>
      </c>
      <c r="H111">
        <v>0.35793000000000003</v>
      </c>
      <c r="J111">
        <v>0.34572000000000003</v>
      </c>
      <c r="L111">
        <v>0.31528</v>
      </c>
      <c r="N111">
        <v>0.28534999999999999</v>
      </c>
      <c r="P111">
        <v>0.25352999999999998</v>
      </c>
      <c r="R111">
        <v>0.22205</v>
      </c>
      <c r="T111">
        <v>0.1603</v>
      </c>
    </row>
    <row r="112" spans="2:20" x14ac:dyDescent="0.3">
      <c r="B112">
        <v>0.37615999999999999</v>
      </c>
      <c r="D112">
        <v>0.37031999999999998</v>
      </c>
      <c r="F112">
        <v>0.36413000000000001</v>
      </c>
      <c r="H112">
        <v>0.35793000000000003</v>
      </c>
      <c r="J112">
        <v>0.34572000000000003</v>
      </c>
      <c r="L112">
        <v>0.31528</v>
      </c>
      <c r="N112">
        <v>0.28534999999999999</v>
      </c>
      <c r="P112">
        <v>0.25369999999999998</v>
      </c>
      <c r="R112">
        <v>0.22205</v>
      </c>
      <c r="T112">
        <v>0.1603</v>
      </c>
    </row>
    <row r="113" spans="2:20" x14ac:dyDescent="0.3">
      <c r="B113">
        <v>0.37615999999999999</v>
      </c>
      <c r="D113">
        <v>0.37031999999999998</v>
      </c>
      <c r="F113">
        <v>0.36395</v>
      </c>
      <c r="H113">
        <v>0.35793000000000003</v>
      </c>
      <c r="J113">
        <v>0.34588999999999998</v>
      </c>
      <c r="L113">
        <v>0.31526999999999999</v>
      </c>
      <c r="N113">
        <v>0.28534999999999999</v>
      </c>
      <c r="P113">
        <v>0.25386999999999998</v>
      </c>
      <c r="R113">
        <v>0.22222</v>
      </c>
      <c r="T113">
        <v>0.1603</v>
      </c>
    </row>
    <row r="114" spans="2:20" x14ac:dyDescent="0.3">
      <c r="B114">
        <v>0.37615999999999999</v>
      </c>
      <c r="D114">
        <v>0.37014000000000002</v>
      </c>
      <c r="F114">
        <v>0.36412</v>
      </c>
      <c r="H114">
        <v>0.35809999999999997</v>
      </c>
      <c r="J114">
        <v>0.34605999999999998</v>
      </c>
      <c r="L114">
        <v>0.31544</v>
      </c>
      <c r="N114">
        <v>0.28534999999999999</v>
      </c>
      <c r="P114">
        <v>0.25386999999999998</v>
      </c>
      <c r="R114">
        <v>0.22222</v>
      </c>
      <c r="T114">
        <v>0.16047</v>
      </c>
    </row>
    <row r="115" spans="2:20" x14ac:dyDescent="0.3">
      <c r="B115">
        <v>0.37634000000000001</v>
      </c>
      <c r="D115">
        <v>0.37014000000000002</v>
      </c>
      <c r="F115">
        <v>0.36412</v>
      </c>
      <c r="H115">
        <v>0.35827999999999999</v>
      </c>
      <c r="J115">
        <v>0.34605999999999998</v>
      </c>
      <c r="L115">
        <v>0.31562000000000001</v>
      </c>
      <c r="N115">
        <v>0.28534999999999999</v>
      </c>
      <c r="P115">
        <v>0.25403999999999999</v>
      </c>
      <c r="R115">
        <v>0.22239999999999999</v>
      </c>
      <c r="T115">
        <v>0.16081999999999999</v>
      </c>
    </row>
    <row r="116" spans="2:20" x14ac:dyDescent="0.3">
      <c r="B116">
        <v>0.37633</v>
      </c>
      <c r="D116">
        <v>0.37014000000000002</v>
      </c>
      <c r="F116">
        <v>0.36412</v>
      </c>
      <c r="H116">
        <v>0.35809999999999997</v>
      </c>
      <c r="J116">
        <v>0.34623999999999999</v>
      </c>
      <c r="L116">
        <v>0.31579000000000002</v>
      </c>
      <c r="N116">
        <v>0.28534999999999999</v>
      </c>
      <c r="P116">
        <v>0.25403999999999999</v>
      </c>
      <c r="R116">
        <v>0.22239999999999999</v>
      </c>
      <c r="T116">
        <v>0.16131999999999999</v>
      </c>
    </row>
    <row r="117" spans="2:20" x14ac:dyDescent="0.3">
      <c r="B117">
        <v>0.37651000000000001</v>
      </c>
      <c r="D117">
        <v>0.37014000000000002</v>
      </c>
      <c r="F117">
        <v>0.36412</v>
      </c>
      <c r="H117">
        <v>0.35810999999999998</v>
      </c>
      <c r="J117">
        <v>0.34623999999999999</v>
      </c>
      <c r="L117">
        <v>0.31596000000000002</v>
      </c>
      <c r="N117">
        <v>0.28517999999999999</v>
      </c>
      <c r="P117">
        <v>0.25403999999999999</v>
      </c>
      <c r="R117">
        <v>0.22239999999999999</v>
      </c>
      <c r="T117">
        <v>0.16303999999999999</v>
      </c>
    </row>
    <row r="118" spans="2:20" x14ac:dyDescent="0.3">
      <c r="B118">
        <v>0.37634000000000001</v>
      </c>
      <c r="D118">
        <v>0.37031999999999998</v>
      </c>
      <c r="F118">
        <v>0.36412</v>
      </c>
      <c r="H118">
        <v>0.35793000000000003</v>
      </c>
      <c r="J118">
        <v>0.34606999999999999</v>
      </c>
      <c r="L118">
        <v>0.31596000000000002</v>
      </c>
      <c r="N118">
        <v>0.28517999999999999</v>
      </c>
      <c r="P118">
        <v>0.25405</v>
      </c>
      <c r="R118">
        <v>0.22239999999999999</v>
      </c>
      <c r="T118">
        <v>0.16425999999999999</v>
      </c>
    </row>
    <row r="119" spans="2:20" x14ac:dyDescent="0.3">
      <c r="B119">
        <v>0.37615999999999999</v>
      </c>
      <c r="D119">
        <v>0.37031999999999998</v>
      </c>
      <c r="F119">
        <v>0.36413000000000001</v>
      </c>
      <c r="H119">
        <v>0.35793000000000003</v>
      </c>
      <c r="J119">
        <v>0.34588999999999998</v>
      </c>
      <c r="L119">
        <v>0.31596000000000002</v>
      </c>
      <c r="N119">
        <v>0.28517999999999999</v>
      </c>
      <c r="P119">
        <v>0.25386999999999998</v>
      </c>
      <c r="R119">
        <v>0.22239999999999999</v>
      </c>
      <c r="T119">
        <v>0.16442999999999999</v>
      </c>
    </row>
    <row r="120" spans="2:20" x14ac:dyDescent="0.3">
      <c r="B120">
        <v>0.37615999999999999</v>
      </c>
      <c r="D120">
        <v>0.37031999999999998</v>
      </c>
      <c r="F120">
        <v>0.36395</v>
      </c>
      <c r="H120">
        <v>0.35793000000000003</v>
      </c>
      <c r="J120">
        <v>0.34589999999999999</v>
      </c>
      <c r="L120">
        <v>0.31596999999999997</v>
      </c>
      <c r="N120">
        <v>0.28517999999999999</v>
      </c>
      <c r="P120">
        <v>0.25386999999999998</v>
      </c>
      <c r="R120">
        <v>0.22222</v>
      </c>
      <c r="T120">
        <v>0.16442999999999999</v>
      </c>
    </row>
    <row r="121" spans="2:20" x14ac:dyDescent="0.3">
      <c r="B121">
        <v>0.37634000000000001</v>
      </c>
      <c r="D121">
        <v>0.37014999999999998</v>
      </c>
      <c r="F121">
        <v>0.36395</v>
      </c>
      <c r="H121">
        <v>0.35793000000000003</v>
      </c>
      <c r="J121">
        <v>0.34572000000000003</v>
      </c>
      <c r="L121">
        <v>0.31580000000000003</v>
      </c>
      <c r="N121">
        <v>0.28516999999999998</v>
      </c>
      <c r="P121">
        <v>0.25369999999999998</v>
      </c>
      <c r="R121">
        <v>0.22222</v>
      </c>
      <c r="T121">
        <v>0.1646</v>
      </c>
    </row>
    <row r="122" spans="2:20" x14ac:dyDescent="0.3">
      <c r="B122">
        <v>0.37633</v>
      </c>
      <c r="D122">
        <v>0.36997000000000002</v>
      </c>
      <c r="F122">
        <v>0.36395</v>
      </c>
      <c r="H122">
        <v>0.35809999999999997</v>
      </c>
      <c r="J122">
        <v>0.34588999999999998</v>
      </c>
      <c r="L122">
        <v>0.31545000000000001</v>
      </c>
      <c r="N122">
        <v>0.28534999999999999</v>
      </c>
      <c r="P122">
        <v>0.25352999999999998</v>
      </c>
      <c r="R122">
        <v>0.22223000000000001</v>
      </c>
      <c r="T122">
        <v>0.16461000000000001</v>
      </c>
    </row>
    <row r="123" spans="2:20" x14ac:dyDescent="0.3">
      <c r="B123">
        <v>0.37651000000000001</v>
      </c>
      <c r="D123">
        <v>0.36997000000000002</v>
      </c>
      <c r="F123">
        <v>0.36395</v>
      </c>
      <c r="H123">
        <v>0.35827999999999999</v>
      </c>
      <c r="J123">
        <v>0.34588999999999998</v>
      </c>
      <c r="L123">
        <v>0.31545000000000001</v>
      </c>
      <c r="N123">
        <v>0.28534999999999999</v>
      </c>
      <c r="P123">
        <v>0.25352999999999998</v>
      </c>
      <c r="R123">
        <v>0.22205</v>
      </c>
      <c r="T123">
        <v>0.16442999999999999</v>
      </c>
    </row>
    <row r="124" spans="2:20" x14ac:dyDescent="0.3">
      <c r="B124">
        <v>0.37651000000000001</v>
      </c>
      <c r="D124">
        <v>0.36997000000000002</v>
      </c>
      <c r="F124">
        <v>0.36395</v>
      </c>
      <c r="H124">
        <v>0.35827999999999999</v>
      </c>
      <c r="J124">
        <v>0.34605999999999998</v>
      </c>
      <c r="L124">
        <v>0.31528</v>
      </c>
      <c r="N124">
        <v>0.28534999999999999</v>
      </c>
      <c r="P124">
        <v>0.25352999999999998</v>
      </c>
      <c r="R124">
        <v>0.22205</v>
      </c>
      <c r="T124">
        <v>0.16425999999999999</v>
      </c>
    </row>
    <row r="125" spans="2:20" x14ac:dyDescent="0.3">
      <c r="B125">
        <v>0.37634000000000001</v>
      </c>
      <c r="D125">
        <v>0.37014000000000002</v>
      </c>
      <c r="F125">
        <v>0.36412</v>
      </c>
      <c r="H125">
        <v>0.35827999999999999</v>
      </c>
      <c r="J125">
        <v>0.34623999999999999</v>
      </c>
      <c r="L125">
        <v>0.31526999999999999</v>
      </c>
      <c r="N125">
        <v>0.28534999999999999</v>
      </c>
      <c r="P125">
        <v>0.25352999999999998</v>
      </c>
      <c r="R125">
        <v>0.22205</v>
      </c>
      <c r="T125">
        <v>0.16394</v>
      </c>
    </row>
    <row r="126" spans="2:20" x14ac:dyDescent="0.3">
      <c r="B126">
        <v>0.37615999999999999</v>
      </c>
      <c r="D126">
        <v>0.37014000000000002</v>
      </c>
      <c r="F126">
        <v>0.36413000000000001</v>
      </c>
      <c r="H126">
        <v>0.35809999999999997</v>
      </c>
      <c r="J126">
        <v>0.34623999999999999</v>
      </c>
      <c r="L126">
        <v>0.31544</v>
      </c>
      <c r="N126">
        <v>0.28534999999999999</v>
      </c>
      <c r="P126">
        <v>0.25352999999999998</v>
      </c>
      <c r="R126">
        <v>0.22205</v>
      </c>
      <c r="T126">
        <v>0.16169</v>
      </c>
    </row>
    <row r="127" spans="2:20" x14ac:dyDescent="0.3">
      <c r="B127">
        <v>0.37615999999999999</v>
      </c>
      <c r="D127">
        <v>0.37031999999999998</v>
      </c>
      <c r="F127">
        <v>0.36395</v>
      </c>
      <c r="H127">
        <v>0.35810999999999998</v>
      </c>
      <c r="J127">
        <v>0.34623999999999999</v>
      </c>
      <c r="L127">
        <v>0.31562000000000001</v>
      </c>
      <c r="N127">
        <v>0.28534999999999999</v>
      </c>
      <c r="P127">
        <v>0.25369999999999998</v>
      </c>
      <c r="R127">
        <v>0.22205</v>
      </c>
      <c r="T127">
        <v>0.16081999999999999</v>
      </c>
    </row>
    <row r="128" spans="2:20" x14ac:dyDescent="0.3">
      <c r="B128">
        <v>0.37633</v>
      </c>
      <c r="D128">
        <v>0.37014000000000002</v>
      </c>
      <c r="F128">
        <v>0.36395</v>
      </c>
      <c r="H128">
        <v>0.35793000000000003</v>
      </c>
      <c r="J128">
        <v>0.34605999999999998</v>
      </c>
      <c r="L128">
        <v>0.31579000000000002</v>
      </c>
      <c r="N128">
        <v>0.28534999999999999</v>
      </c>
      <c r="P128">
        <v>0.25386999999999998</v>
      </c>
      <c r="R128">
        <v>0.22205</v>
      </c>
      <c r="T128">
        <v>0.16064999999999999</v>
      </c>
    </row>
    <row r="129" spans="2:20" x14ac:dyDescent="0.3">
      <c r="B129">
        <v>0.37651000000000001</v>
      </c>
      <c r="D129">
        <v>0.37014000000000002</v>
      </c>
      <c r="F129">
        <v>0.36395</v>
      </c>
      <c r="H129">
        <v>0.35793000000000003</v>
      </c>
      <c r="J129">
        <v>0.34606999999999999</v>
      </c>
      <c r="L129">
        <v>0.31596000000000002</v>
      </c>
      <c r="N129">
        <v>0.28517999999999999</v>
      </c>
      <c r="P129">
        <v>0.25386999999999998</v>
      </c>
      <c r="R129">
        <v>0.22205</v>
      </c>
      <c r="T129">
        <v>0.16048000000000001</v>
      </c>
    </row>
    <row r="130" spans="2:20" x14ac:dyDescent="0.3">
      <c r="B130">
        <v>0.37651000000000001</v>
      </c>
      <c r="D130">
        <v>0.37014000000000002</v>
      </c>
      <c r="F130">
        <v>0.36395</v>
      </c>
      <c r="H130">
        <v>0.35809999999999997</v>
      </c>
      <c r="J130">
        <v>0.34588999999999998</v>
      </c>
      <c r="L130">
        <v>0.31613999999999998</v>
      </c>
      <c r="N130">
        <v>0.28499999999999998</v>
      </c>
      <c r="P130">
        <v>0.25403999999999999</v>
      </c>
      <c r="R130">
        <v>0.22222</v>
      </c>
      <c r="T130">
        <v>0.1603</v>
      </c>
    </row>
    <row r="131" spans="2:20" x14ac:dyDescent="0.3">
      <c r="B131">
        <v>0.37634000000000001</v>
      </c>
      <c r="D131">
        <v>0.37014000000000002</v>
      </c>
      <c r="F131">
        <v>0.36395</v>
      </c>
      <c r="H131">
        <v>0.35809999999999997</v>
      </c>
      <c r="J131">
        <v>0.34588999999999998</v>
      </c>
      <c r="L131">
        <v>0.31596000000000002</v>
      </c>
      <c r="N131">
        <v>0.28499999999999998</v>
      </c>
      <c r="P131">
        <v>0.25403999999999999</v>
      </c>
      <c r="R131">
        <v>0.22222</v>
      </c>
      <c r="T131">
        <v>0.1603</v>
      </c>
    </row>
    <row r="132" spans="2:20" x14ac:dyDescent="0.3">
      <c r="B132">
        <v>0.37634000000000001</v>
      </c>
      <c r="D132">
        <v>0.37031999999999998</v>
      </c>
      <c r="F132">
        <v>0.36412</v>
      </c>
      <c r="H132">
        <v>0.35827999999999999</v>
      </c>
      <c r="J132">
        <v>0.34588999999999998</v>
      </c>
      <c r="L132">
        <v>0.31596999999999997</v>
      </c>
      <c r="N132">
        <v>0.28499999999999998</v>
      </c>
      <c r="P132">
        <v>0.25403999999999999</v>
      </c>
      <c r="R132">
        <v>0.22239999999999999</v>
      </c>
      <c r="T132">
        <v>0.16048000000000001</v>
      </c>
    </row>
    <row r="133" spans="2:20" x14ac:dyDescent="0.3">
      <c r="B133">
        <v>0.37615999999999999</v>
      </c>
      <c r="D133">
        <v>0.37031999999999998</v>
      </c>
      <c r="F133">
        <v>0.36412</v>
      </c>
      <c r="H133">
        <v>0.35827999999999999</v>
      </c>
      <c r="J133">
        <v>0.34605999999999998</v>
      </c>
      <c r="L133">
        <v>0.31562000000000001</v>
      </c>
      <c r="N133">
        <v>0.28499999999999998</v>
      </c>
      <c r="P133">
        <v>0.25405</v>
      </c>
      <c r="R133">
        <v>0.22239999999999999</v>
      </c>
      <c r="T133">
        <v>0.16047</v>
      </c>
    </row>
    <row r="134" spans="2:20" x14ac:dyDescent="0.3">
      <c r="B134">
        <v>0.37615999999999999</v>
      </c>
      <c r="D134">
        <v>0.37031999999999998</v>
      </c>
      <c r="F134">
        <v>0.36412</v>
      </c>
      <c r="H134">
        <v>0.35810999999999998</v>
      </c>
      <c r="J134">
        <v>0.34623999999999999</v>
      </c>
      <c r="L134">
        <v>0.31545000000000001</v>
      </c>
      <c r="N134">
        <v>0.28499999999999998</v>
      </c>
      <c r="P134">
        <v>0.25386999999999998</v>
      </c>
      <c r="R134">
        <v>0.22239999999999999</v>
      </c>
      <c r="T134">
        <v>0.16081999999999999</v>
      </c>
    </row>
    <row r="135" spans="2:20" x14ac:dyDescent="0.3">
      <c r="B135">
        <v>0.37634000000000001</v>
      </c>
      <c r="D135">
        <v>0.37031999999999998</v>
      </c>
      <c r="F135">
        <v>0.36412</v>
      </c>
      <c r="H135">
        <v>0.35793000000000003</v>
      </c>
      <c r="J135">
        <v>0.34623999999999999</v>
      </c>
      <c r="L135">
        <v>0.31545000000000001</v>
      </c>
      <c r="N135">
        <v>0.28517999999999999</v>
      </c>
      <c r="P135">
        <v>0.25369999999999998</v>
      </c>
      <c r="R135">
        <v>0.22239999999999999</v>
      </c>
      <c r="T135">
        <v>0.16131999999999999</v>
      </c>
    </row>
    <row r="136" spans="2:20" x14ac:dyDescent="0.3">
      <c r="B136">
        <v>0.37633</v>
      </c>
      <c r="D136">
        <v>0.37014000000000002</v>
      </c>
      <c r="F136">
        <v>0.36413000000000001</v>
      </c>
      <c r="H136">
        <v>0.35793000000000003</v>
      </c>
      <c r="J136">
        <v>0.34623999999999999</v>
      </c>
      <c r="L136">
        <v>0.31526999999999999</v>
      </c>
      <c r="N136">
        <v>0.28517999999999999</v>
      </c>
      <c r="P136">
        <v>0.25369999999999998</v>
      </c>
      <c r="R136">
        <v>0.22222</v>
      </c>
      <c r="T136">
        <v>0.16322</v>
      </c>
    </row>
    <row r="137" spans="2:20" x14ac:dyDescent="0.3">
      <c r="B137">
        <v>0.37651000000000001</v>
      </c>
      <c r="D137">
        <v>0.37014000000000002</v>
      </c>
      <c r="F137">
        <v>0.36395</v>
      </c>
      <c r="H137">
        <v>0.35793000000000003</v>
      </c>
      <c r="J137">
        <v>0.34623999999999999</v>
      </c>
      <c r="L137">
        <v>0.31545000000000001</v>
      </c>
      <c r="N137">
        <v>0.28517999999999999</v>
      </c>
      <c r="P137">
        <v>0.25352999999999998</v>
      </c>
      <c r="R137">
        <v>0.22223000000000001</v>
      </c>
      <c r="T137">
        <v>0.16425999999999999</v>
      </c>
    </row>
    <row r="138" spans="2:20" x14ac:dyDescent="0.3">
      <c r="B138">
        <v>0.37634000000000001</v>
      </c>
      <c r="D138">
        <v>0.37014000000000002</v>
      </c>
      <c r="F138">
        <v>0.36395</v>
      </c>
      <c r="H138">
        <v>0.35793000000000003</v>
      </c>
      <c r="J138">
        <v>0.34606999999999999</v>
      </c>
      <c r="L138">
        <v>0.31544</v>
      </c>
      <c r="N138">
        <v>0.28517999999999999</v>
      </c>
      <c r="P138">
        <v>0.25352999999999998</v>
      </c>
      <c r="R138">
        <v>0.22205</v>
      </c>
      <c r="T138">
        <v>0.16442999999999999</v>
      </c>
    </row>
    <row r="139" spans="2:20" x14ac:dyDescent="0.3">
      <c r="B139">
        <v>0.37615999999999999</v>
      </c>
      <c r="D139">
        <v>0.37014000000000002</v>
      </c>
      <c r="F139">
        <v>0.36412</v>
      </c>
      <c r="H139">
        <v>0.35809999999999997</v>
      </c>
      <c r="J139">
        <v>0.34588999999999998</v>
      </c>
      <c r="L139">
        <v>0.31579000000000002</v>
      </c>
      <c r="N139">
        <v>0.28517999999999999</v>
      </c>
      <c r="P139">
        <v>0.25352999999999998</v>
      </c>
      <c r="R139">
        <v>0.22205</v>
      </c>
      <c r="T139">
        <v>0.16442999999999999</v>
      </c>
    </row>
    <row r="140" spans="2:20" x14ac:dyDescent="0.3">
      <c r="B140">
        <v>0.37615999999999999</v>
      </c>
      <c r="D140">
        <v>0.37014000000000002</v>
      </c>
      <c r="F140">
        <v>0.36412</v>
      </c>
      <c r="H140">
        <v>0.35827999999999999</v>
      </c>
      <c r="J140">
        <v>0.34588999999999998</v>
      </c>
      <c r="L140">
        <v>0.31596000000000002</v>
      </c>
      <c r="N140">
        <v>0.28517999999999999</v>
      </c>
      <c r="P140">
        <v>0.25352999999999998</v>
      </c>
      <c r="R140">
        <v>0.22205</v>
      </c>
      <c r="T140">
        <v>0.16461000000000001</v>
      </c>
    </row>
    <row r="141" spans="2:20" x14ac:dyDescent="0.3">
      <c r="B141">
        <v>0.37615999999999999</v>
      </c>
      <c r="D141">
        <v>0.37031999999999998</v>
      </c>
      <c r="F141">
        <v>0.36412</v>
      </c>
      <c r="H141">
        <v>0.35827999999999999</v>
      </c>
      <c r="J141">
        <v>0.34588999999999998</v>
      </c>
      <c r="L141">
        <v>0.31613999999999998</v>
      </c>
      <c r="N141">
        <v>0.28517999999999999</v>
      </c>
      <c r="P141">
        <v>0.25352999999999998</v>
      </c>
      <c r="R141">
        <v>0.22205</v>
      </c>
      <c r="T141">
        <v>0.16442999999999999</v>
      </c>
    </row>
    <row r="142" spans="2:20" x14ac:dyDescent="0.3">
      <c r="B142">
        <v>0.37633</v>
      </c>
      <c r="D142">
        <v>0.37014000000000002</v>
      </c>
      <c r="F142">
        <v>0.36412</v>
      </c>
      <c r="H142">
        <v>0.35827999999999999</v>
      </c>
      <c r="J142">
        <v>0.34588999999999998</v>
      </c>
      <c r="L142">
        <v>0.31613999999999998</v>
      </c>
      <c r="N142">
        <v>0.28517999999999999</v>
      </c>
      <c r="P142">
        <v>0.25369999999999998</v>
      </c>
      <c r="R142">
        <v>0.22205</v>
      </c>
      <c r="T142">
        <v>0.16442999999999999</v>
      </c>
    </row>
    <row r="143" spans="2:20" x14ac:dyDescent="0.3">
      <c r="B143">
        <v>0.37651000000000001</v>
      </c>
      <c r="D143">
        <v>0.37014000000000002</v>
      </c>
      <c r="F143">
        <v>0.36413000000000001</v>
      </c>
      <c r="H143">
        <v>0.35809999999999997</v>
      </c>
      <c r="J143">
        <v>0.34605999999999998</v>
      </c>
      <c r="L143">
        <v>0.31596000000000002</v>
      </c>
      <c r="N143">
        <v>0.28517999999999999</v>
      </c>
      <c r="P143">
        <v>0.25369999999999998</v>
      </c>
      <c r="R143">
        <v>0.22205</v>
      </c>
      <c r="T143">
        <v>0.16427</v>
      </c>
    </row>
    <row r="144" spans="2:20" x14ac:dyDescent="0.3">
      <c r="B144">
        <v>0.37651000000000001</v>
      </c>
      <c r="D144">
        <v>0.37014999999999998</v>
      </c>
      <c r="F144">
        <v>0.36395</v>
      </c>
      <c r="H144">
        <v>0.35810999999999998</v>
      </c>
      <c r="J144">
        <v>0.34623999999999999</v>
      </c>
      <c r="L144">
        <v>0.31596999999999997</v>
      </c>
      <c r="N144">
        <v>0.28517999999999999</v>
      </c>
      <c r="P144">
        <v>0.25386999999999998</v>
      </c>
      <c r="R144">
        <v>0.22205</v>
      </c>
      <c r="T144">
        <v>0.16342000000000001</v>
      </c>
    </row>
    <row r="145" spans="2:20" x14ac:dyDescent="0.3">
      <c r="B145">
        <v>0.37634000000000001</v>
      </c>
      <c r="D145">
        <v>0.36997000000000002</v>
      </c>
      <c r="F145">
        <v>0.36395</v>
      </c>
      <c r="H145">
        <v>0.35793000000000003</v>
      </c>
      <c r="J145">
        <v>0.34623999999999999</v>
      </c>
      <c r="L145">
        <v>0.31562000000000001</v>
      </c>
      <c r="N145">
        <v>0.28499999999999998</v>
      </c>
      <c r="P145">
        <v>0.25386999999999998</v>
      </c>
      <c r="R145">
        <v>0.22205</v>
      </c>
      <c r="T145">
        <v>0.16150999999999999</v>
      </c>
    </row>
    <row r="146" spans="2:20" x14ac:dyDescent="0.3">
      <c r="B146">
        <v>0.37615999999999999</v>
      </c>
      <c r="D146">
        <v>0.37014000000000002</v>
      </c>
      <c r="F146">
        <v>0.36395</v>
      </c>
      <c r="H146">
        <v>0.35809999999999997</v>
      </c>
      <c r="J146">
        <v>0.34623999999999999</v>
      </c>
      <c r="L146">
        <v>0.31545000000000001</v>
      </c>
      <c r="N146">
        <v>0.28499999999999998</v>
      </c>
      <c r="P146">
        <v>0.25386999999999998</v>
      </c>
      <c r="R146">
        <v>0.22222</v>
      </c>
      <c r="T146">
        <v>0.16081999999999999</v>
      </c>
    </row>
    <row r="147" spans="2:20" x14ac:dyDescent="0.3">
      <c r="B147">
        <v>0.37615999999999999</v>
      </c>
      <c r="D147">
        <v>0.37014000000000002</v>
      </c>
      <c r="F147">
        <v>0.36395</v>
      </c>
      <c r="H147">
        <v>0.35809999999999997</v>
      </c>
      <c r="J147">
        <v>0.34605999999999998</v>
      </c>
      <c r="L147">
        <v>0.31528</v>
      </c>
      <c r="N147">
        <v>0.28517999999999999</v>
      </c>
      <c r="P147">
        <v>0.25405</v>
      </c>
      <c r="R147">
        <v>0.22222</v>
      </c>
      <c r="T147">
        <v>0.16048000000000001</v>
      </c>
    </row>
    <row r="148" spans="2:20" x14ac:dyDescent="0.3">
      <c r="B148">
        <v>0.37634000000000001</v>
      </c>
      <c r="D148">
        <v>0.37031999999999998</v>
      </c>
      <c r="F148">
        <v>0.36412</v>
      </c>
      <c r="H148">
        <v>0.35826999999999998</v>
      </c>
      <c r="J148">
        <v>0.34606999999999999</v>
      </c>
      <c r="L148">
        <v>0.31526999999999999</v>
      </c>
      <c r="N148">
        <v>0.28517999999999999</v>
      </c>
      <c r="P148">
        <v>0.25386999999999998</v>
      </c>
      <c r="R148">
        <v>0.22239999999999999</v>
      </c>
      <c r="T148">
        <v>0.1603</v>
      </c>
    </row>
    <row r="149" spans="2:20" x14ac:dyDescent="0.3">
      <c r="B149">
        <v>0.37633</v>
      </c>
      <c r="D149">
        <v>0.37031999999999998</v>
      </c>
      <c r="F149">
        <v>0.36412</v>
      </c>
      <c r="H149">
        <v>0.35844999999999999</v>
      </c>
      <c r="J149">
        <v>0.34588999999999998</v>
      </c>
      <c r="L149">
        <v>0.31544</v>
      </c>
      <c r="N149">
        <v>0.28517999999999999</v>
      </c>
      <c r="P149">
        <v>0.25386999999999998</v>
      </c>
      <c r="R149">
        <v>0.22239999999999999</v>
      </c>
      <c r="T149">
        <v>0.1603</v>
      </c>
    </row>
    <row r="150" spans="2:20" x14ac:dyDescent="0.3">
      <c r="B150">
        <v>0.37651000000000001</v>
      </c>
      <c r="D150">
        <v>0.37031999999999998</v>
      </c>
      <c r="F150">
        <v>0.36412</v>
      </c>
      <c r="H150">
        <v>0.35827999999999999</v>
      </c>
      <c r="J150">
        <v>0.34588999999999998</v>
      </c>
      <c r="L150">
        <v>0.31562000000000001</v>
      </c>
      <c r="N150">
        <v>0.28517999999999999</v>
      </c>
      <c r="P150">
        <v>0.25369999999999998</v>
      </c>
      <c r="R150">
        <v>0.22239999999999999</v>
      </c>
      <c r="T150">
        <v>0.1603</v>
      </c>
    </row>
    <row r="151" spans="2:20" x14ac:dyDescent="0.3">
      <c r="B151">
        <v>0.37634000000000001</v>
      </c>
      <c r="D151">
        <v>0.37014000000000002</v>
      </c>
      <c r="F151">
        <v>0.36413000000000001</v>
      </c>
      <c r="H151">
        <v>0.35827999999999999</v>
      </c>
      <c r="J151">
        <v>0.34588999999999998</v>
      </c>
      <c r="L151">
        <v>0.31579000000000002</v>
      </c>
      <c r="N151">
        <v>0.28516999999999998</v>
      </c>
      <c r="P151">
        <v>0.25369999999999998</v>
      </c>
      <c r="R151">
        <v>0.22239999999999999</v>
      </c>
      <c r="T151">
        <v>0.1603</v>
      </c>
    </row>
    <row r="152" spans="2:20" x14ac:dyDescent="0.3">
      <c r="B152">
        <v>0.37634000000000001</v>
      </c>
      <c r="D152">
        <v>0.37014000000000002</v>
      </c>
      <c r="F152">
        <v>0.36395</v>
      </c>
      <c r="H152">
        <v>0.35810999999999998</v>
      </c>
      <c r="J152">
        <v>0.34605999999999998</v>
      </c>
      <c r="L152">
        <v>0.31596000000000002</v>
      </c>
      <c r="N152">
        <v>0.28534999999999999</v>
      </c>
      <c r="P152">
        <v>0.25352999999999998</v>
      </c>
      <c r="R152">
        <v>0.22239999999999999</v>
      </c>
      <c r="T152">
        <v>0.16047</v>
      </c>
    </row>
    <row r="153" spans="2:20" x14ac:dyDescent="0.3">
      <c r="B153">
        <v>0.37615999999999999</v>
      </c>
      <c r="D153">
        <v>0.37014000000000002</v>
      </c>
      <c r="F153">
        <v>0.36395</v>
      </c>
      <c r="H153">
        <v>0.35793000000000003</v>
      </c>
      <c r="J153">
        <v>0.34623999999999999</v>
      </c>
      <c r="L153">
        <v>0.31596000000000002</v>
      </c>
      <c r="N153">
        <v>0.28534999999999999</v>
      </c>
      <c r="P153">
        <v>0.25352999999999998</v>
      </c>
      <c r="R153">
        <v>0.22222</v>
      </c>
      <c r="T153">
        <v>0.16064000000000001</v>
      </c>
    </row>
    <row r="154" spans="2:20" x14ac:dyDescent="0.3">
      <c r="B154">
        <v>0.37615999999999999</v>
      </c>
      <c r="D154">
        <v>0.37014000000000002</v>
      </c>
      <c r="F154">
        <v>0.36395</v>
      </c>
      <c r="H154">
        <v>0.35793000000000003</v>
      </c>
      <c r="J154">
        <v>0.34623999999999999</v>
      </c>
      <c r="L154">
        <v>0.31596000000000002</v>
      </c>
      <c r="N154">
        <v>0.28534999999999999</v>
      </c>
      <c r="P154">
        <v>0.25352999999999998</v>
      </c>
      <c r="R154">
        <v>0.22223000000000001</v>
      </c>
      <c r="T154">
        <v>0.16098000000000001</v>
      </c>
    </row>
    <row r="155" spans="2:20" x14ac:dyDescent="0.3">
      <c r="B155">
        <v>0.37634000000000001</v>
      </c>
      <c r="D155">
        <v>0.37031999999999998</v>
      </c>
      <c r="F155">
        <v>0.36412</v>
      </c>
      <c r="H155">
        <v>0.35809999999999997</v>
      </c>
      <c r="J155">
        <v>0.34623999999999999</v>
      </c>
      <c r="L155">
        <v>0.31596999999999997</v>
      </c>
      <c r="N155">
        <v>0.28534999999999999</v>
      </c>
      <c r="P155">
        <v>0.25352999999999998</v>
      </c>
      <c r="R155">
        <v>0.22205</v>
      </c>
      <c r="T155">
        <v>0.16200000000000001</v>
      </c>
    </row>
    <row r="156" spans="2:20" x14ac:dyDescent="0.3">
      <c r="B156">
        <v>0.37634000000000001</v>
      </c>
      <c r="D156">
        <v>0.37031999999999998</v>
      </c>
      <c r="F156">
        <v>0.36412</v>
      </c>
      <c r="H156">
        <v>0.35809999999999997</v>
      </c>
      <c r="J156">
        <v>0.34623999999999999</v>
      </c>
      <c r="L156">
        <v>0.31580000000000003</v>
      </c>
      <c r="N156">
        <v>0.28517999999999999</v>
      </c>
      <c r="P156">
        <v>0.25352999999999998</v>
      </c>
      <c r="R156">
        <v>0.22205</v>
      </c>
      <c r="T156">
        <v>0.16409000000000001</v>
      </c>
    </row>
    <row r="157" spans="2:20" x14ac:dyDescent="0.3">
      <c r="B157">
        <v>0.37634000000000001</v>
      </c>
      <c r="D157">
        <v>0.37031999999999998</v>
      </c>
      <c r="F157">
        <v>0.36430000000000001</v>
      </c>
      <c r="H157">
        <v>0.35827999999999999</v>
      </c>
      <c r="J157">
        <v>0.34606999999999999</v>
      </c>
      <c r="L157">
        <v>0.31562000000000001</v>
      </c>
      <c r="N157">
        <v>0.28517999999999999</v>
      </c>
      <c r="P157">
        <v>0.25369999999999998</v>
      </c>
      <c r="R157">
        <v>0.22205</v>
      </c>
      <c r="T157">
        <v>0.16425999999999999</v>
      </c>
    </row>
    <row r="158" spans="2:20" x14ac:dyDescent="0.3">
      <c r="B158">
        <v>0.37634000000000001</v>
      </c>
      <c r="D158">
        <v>0.37014000000000002</v>
      </c>
      <c r="F158">
        <v>0.36430000000000001</v>
      </c>
      <c r="H158">
        <v>0.35827999999999999</v>
      </c>
      <c r="J158">
        <v>0.34588999999999998</v>
      </c>
      <c r="L158">
        <v>0.31545000000000001</v>
      </c>
      <c r="N158">
        <v>0.28517999999999999</v>
      </c>
      <c r="P158">
        <v>0.25369999999999998</v>
      </c>
      <c r="R158">
        <v>0.22205</v>
      </c>
      <c r="T158">
        <v>0.16442999999999999</v>
      </c>
    </row>
    <row r="159" spans="2:20" x14ac:dyDescent="0.3">
      <c r="B159">
        <v>0.37634000000000001</v>
      </c>
      <c r="D159">
        <v>0.37014999999999998</v>
      </c>
      <c r="F159">
        <v>0.36412</v>
      </c>
      <c r="H159">
        <v>0.35827999999999999</v>
      </c>
      <c r="J159">
        <v>0.34588999999999998</v>
      </c>
      <c r="L159">
        <v>0.31528</v>
      </c>
      <c r="N159">
        <v>0.28517999999999999</v>
      </c>
      <c r="P159">
        <v>0.25386999999999998</v>
      </c>
      <c r="R159">
        <v>0.22205</v>
      </c>
      <c r="T159">
        <v>0.16442999999999999</v>
      </c>
    </row>
    <row r="160" spans="2:20" x14ac:dyDescent="0.3">
      <c r="B160">
        <v>0.37615999999999999</v>
      </c>
      <c r="D160">
        <v>0.36997000000000002</v>
      </c>
      <c r="F160">
        <v>0.36412</v>
      </c>
      <c r="H160">
        <v>0.35809999999999997</v>
      </c>
      <c r="J160">
        <v>0.34588999999999998</v>
      </c>
      <c r="L160">
        <v>0.31528</v>
      </c>
      <c r="N160">
        <v>0.28517999999999999</v>
      </c>
      <c r="P160">
        <v>0.25386999999999998</v>
      </c>
      <c r="R160">
        <v>0.22205</v>
      </c>
      <c r="T160">
        <v>0.16442999999999999</v>
      </c>
    </row>
    <row r="161" spans="2:20" x14ac:dyDescent="0.3">
      <c r="B161">
        <v>0.37615999999999999</v>
      </c>
      <c r="D161">
        <v>0.37014000000000002</v>
      </c>
      <c r="F161">
        <v>0.36412</v>
      </c>
      <c r="H161">
        <v>0.35810999999999998</v>
      </c>
      <c r="J161">
        <v>0.34588999999999998</v>
      </c>
      <c r="L161">
        <v>0.31526999999999999</v>
      </c>
      <c r="N161">
        <v>0.28517999999999999</v>
      </c>
      <c r="P161">
        <v>0.25386999999999998</v>
      </c>
      <c r="R161">
        <v>0.22205</v>
      </c>
      <c r="T161">
        <v>0.16425999999999999</v>
      </c>
    </row>
    <row r="162" spans="2:20" x14ac:dyDescent="0.3">
      <c r="B162">
        <v>0.37633</v>
      </c>
      <c r="D162">
        <v>0.37014000000000002</v>
      </c>
      <c r="F162">
        <v>0.36412</v>
      </c>
      <c r="H162">
        <v>0.35793000000000003</v>
      </c>
      <c r="J162">
        <v>0.34605999999999998</v>
      </c>
      <c r="L162">
        <v>0.31544</v>
      </c>
      <c r="N162">
        <v>0.28516999999999998</v>
      </c>
      <c r="P162">
        <v>0.25386999999999998</v>
      </c>
      <c r="R162">
        <v>0.22205</v>
      </c>
      <c r="T162">
        <v>0.1641</v>
      </c>
    </row>
    <row r="163" spans="2:20" x14ac:dyDescent="0.3">
      <c r="B163">
        <v>0.37651000000000001</v>
      </c>
      <c r="D163">
        <v>0.37014000000000002</v>
      </c>
      <c r="F163">
        <v>0.36412</v>
      </c>
      <c r="H163">
        <v>0.35809999999999997</v>
      </c>
      <c r="J163">
        <v>0.34605999999999998</v>
      </c>
      <c r="L163">
        <v>0.31562000000000001</v>
      </c>
      <c r="N163">
        <v>0.28534999999999999</v>
      </c>
      <c r="P163">
        <v>0.25386999999999998</v>
      </c>
      <c r="R163">
        <v>0.22222</v>
      </c>
      <c r="T163">
        <v>0.16306999999999999</v>
      </c>
    </row>
    <row r="164" spans="2:20" x14ac:dyDescent="0.3">
      <c r="B164">
        <v>0.37651000000000001</v>
      </c>
      <c r="D164">
        <v>0.37014000000000002</v>
      </c>
      <c r="F164">
        <v>0.36412</v>
      </c>
      <c r="H164">
        <v>0.35809999999999997</v>
      </c>
      <c r="J164">
        <v>0.34623999999999999</v>
      </c>
      <c r="L164">
        <v>0.31579000000000002</v>
      </c>
      <c r="N164">
        <v>0.28534999999999999</v>
      </c>
      <c r="P164">
        <v>0.25386999999999998</v>
      </c>
      <c r="R164">
        <v>0.22222</v>
      </c>
      <c r="T164">
        <v>0.16134000000000001</v>
      </c>
    </row>
    <row r="165" spans="2:20" x14ac:dyDescent="0.3">
      <c r="B165">
        <v>0.37634000000000001</v>
      </c>
      <c r="D165">
        <v>0.37014999999999998</v>
      </c>
      <c r="F165">
        <v>0.36412</v>
      </c>
      <c r="H165">
        <v>0.35826999999999998</v>
      </c>
      <c r="J165">
        <v>0.34623999999999999</v>
      </c>
      <c r="L165">
        <v>0.31596000000000002</v>
      </c>
      <c r="N165">
        <v>0.28534999999999999</v>
      </c>
      <c r="P165">
        <v>0.25386999999999998</v>
      </c>
      <c r="R165">
        <v>0.22222</v>
      </c>
      <c r="T165">
        <v>0.16081999999999999</v>
      </c>
    </row>
    <row r="166" spans="2:20" x14ac:dyDescent="0.3">
      <c r="B166">
        <v>0.37634000000000001</v>
      </c>
      <c r="D166">
        <v>0.36997000000000002</v>
      </c>
      <c r="F166">
        <v>0.36412</v>
      </c>
      <c r="H166">
        <v>0.35844999999999999</v>
      </c>
      <c r="J166">
        <v>0.34605999999999998</v>
      </c>
      <c r="L166">
        <v>0.31596999999999997</v>
      </c>
      <c r="N166">
        <v>0.28534999999999999</v>
      </c>
      <c r="P166">
        <v>0.25369999999999998</v>
      </c>
      <c r="R166">
        <v>0.22239999999999999</v>
      </c>
      <c r="T166">
        <v>0.16048000000000001</v>
      </c>
    </row>
    <row r="167" spans="2:20" x14ac:dyDescent="0.3">
      <c r="B167">
        <v>0.37615999999999999</v>
      </c>
      <c r="D167">
        <v>0.36997000000000002</v>
      </c>
      <c r="F167">
        <v>0.36413000000000001</v>
      </c>
      <c r="H167">
        <v>0.35844999999999999</v>
      </c>
      <c r="J167">
        <v>0.34606999999999999</v>
      </c>
      <c r="L167">
        <v>0.31579000000000002</v>
      </c>
      <c r="N167">
        <v>0.28534999999999999</v>
      </c>
      <c r="P167">
        <v>0.25352999999999998</v>
      </c>
      <c r="R167">
        <v>0.22222</v>
      </c>
      <c r="T167">
        <v>0.16048000000000001</v>
      </c>
    </row>
    <row r="168" spans="2:20" x14ac:dyDescent="0.3">
      <c r="B168">
        <v>0.37634000000000001</v>
      </c>
      <c r="D168">
        <v>0.36997000000000002</v>
      </c>
      <c r="F168">
        <v>0.36395</v>
      </c>
      <c r="H168">
        <v>0.35827999999999999</v>
      </c>
      <c r="J168">
        <v>0.34589999999999999</v>
      </c>
      <c r="L168">
        <v>0.31580000000000003</v>
      </c>
      <c r="N168">
        <v>0.28534999999999999</v>
      </c>
      <c r="P168">
        <v>0.25352999999999998</v>
      </c>
      <c r="R168">
        <v>0.22222</v>
      </c>
      <c r="T168">
        <v>0.1603</v>
      </c>
    </row>
    <row r="169" spans="2:20" x14ac:dyDescent="0.3">
      <c r="B169">
        <v>0.37633</v>
      </c>
      <c r="D169">
        <v>0.37014000000000002</v>
      </c>
      <c r="F169">
        <v>0.36395</v>
      </c>
      <c r="H169">
        <v>0.35827999999999999</v>
      </c>
      <c r="J169">
        <v>0.34572000000000003</v>
      </c>
      <c r="L169">
        <v>0.31562000000000001</v>
      </c>
      <c r="N169">
        <v>0.28534999999999999</v>
      </c>
      <c r="P169">
        <v>0.25352999999999998</v>
      </c>
      <c r="R169">
        <v>0.22222</v>
      </c>
      <c r="T169">
        <v>0.1603</v>
      </c>
    </row>
    <row r="170" spans="2:20" x14ac:dyDescent="0.3">
      <c r="B170">
        <v>0.37651000000000001</v>
      </c>
      <c r="D170">
        <v>0.37014000000000002</v>
      </c>
      <c r="F170">
        <v>0.36395</v>
      </c>
      <c r="H170">
        <v>0.35809999999999997</v>
      </c>
      <c r="J170">
        <v>0.34588999999999998</v>
      </c>
      <c r="L170">
        <v>0.31545000000000001</v>
      </c>
      <c r="N170">
        <v>0.28534999999999999</v>
      </c>
      <c r="P170">
        <v>0.25352999999999998</v>
      </c>
      <c r="R170">
        <v>0.22223000000000001</v>
      </c>
      <c r="T170">
        <v>0.16048000000000001</v>
      </c>
    </row>
    <row r="171" spans="2:20" x14ac:dyDescent="0.3">
      <c r="B171">
        <v>0.37651000000000001</v>
      </c>
      <c r="D171">
        <v>0.37031999999999998</v>
      </c>
      <c r="F171">
        <v>0.36412</v>
      </c>
      <c r="H171">
        <v>0.35809999999999997</v>
      </c>
      <c r="J171">
        <v>0.34588999999999998</v>
      </c>
      <c r="L171">
        <v>0.31528</v>
      </c>
      <c r="N171">
        <v>0.28517999999999999</v>
      </c>
      <c r="P171">
        <v>0.25352999999999998</v>
      </c>
      <c r="R171">
        <v>0.22205</v>
      </c>
      <c r="T171">
        <v>0.16047</v>
      </c>
    </row>
    <row r="172" spans="2:20" x14ac:dyDescent="0.3">
      <c r="B172">
        <v>0.37634000000000001</v>
      </c>
      <c r="F172">
        <v>0.36412</v>
      </c>
      <c r="H172">
        <v>0.35809999999999997</v>
      </c>
      <c r="L172">
        <v>0.31526999999999999</v>
      </c>
      <c r="N172">
        <v>0.28517999999999999</v>
      </c>
      <c r="T172">
        <v>0.16064000000000001</v>
      </c>
    </row>
    <row r="173" spans="2:20" x14ac:dyDescent="0.3">
      <c r="F173">
        <v>0.36412</v>
      </c>
      <c r="T173">
        <v>0.16131999999999999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0"/>
  <sheetViews>
    <sheetView topLeftCell="P1" zoomScaleNormal="100" workbookViewId="0">
      <selection activeCell="AI8" sqref="AI8"/>
    </sheetView>
  </sheetViews>
  <sheetFormatPr defaultRowHeight="14.4" x14ac:dyDescent="0.3"/>
  <cols>
    <col min="2" max="2" width="12.6640625" bestFit="1" customWidth="1"/>
    <col min="16" max="16" width="12.33203125" bestFit="1" customWidth="1"/>
    <col min="17" max="17" width="9" bestFit="1" customWidth="1"/>
    <col min="18" max="18" width="13.44140625" bestFit="1" customWidth="1"/>
    <col min="19" max="19" width="9" bestFit="1" customWidth="1"/>
    <col min="20" max="20" width="13.44140625" bestFit="1" customWidth="1"/>
    <col min="25" max="25" width="13.44140625" bestFit="1" customWidth="1"/>
    <col min="28" max="28" width="9" bestFit="1" customWidth="1"/>
    <col min="33" max="33" width="12.6640625" bestFit="1" customWidth="1"/>
    <col min="34" max="34" width="12" bestFit="1" customWidth="1"/>
  </cols>
  <sheetData>
    <row r="1" spans="1:35" x14ac:dyDescent="0.3">
      <c r="B1" t="s">
        <v>22</v>
      </c>
      <c r="C1">
        <v>0.38854672131147594</v>
      </c>
    </row>
    <row r="2" spans="1:35" x14ac:dyDescent="0.3">
      <c r="B2" t="s">
        <v>23</v>
      </c>
      <c r="C2">
        <v>1.2713092201390846E-4</v>
      </c>
      <c r="AE2" t="s">
        <v>28</v>
      </c>
      <c r="AF2" t="s">
        <v>30</v>
      </c>
      <c r="AG2" t="s">
        <v>31</v>
      </c>
    </row>
    <row r="3" spans="1:35" x14ac:dyDescent="0.3">
      <c r="A3" t="s">
        <v>14</v>
      </c>
      <c r="B3">
        <v>0</v>
      </c>
      <c r="D3">
        <v>40</v>
      </c>
      <c r="F3">
        <v>60</v>
      </c>
      <c r="H3">
        <v>100</v>
      </c>
      <c r="J3">
        <v>200</v>
      </c>
      <c r="L3">
        <v>300</v>
      </c>
      <c r="N3">
        <v>400</v>
      </c>
      <c r="P3">
        <v>500</v>
      </c>
      <c r="R3">
        <v>700</v>
      </c>
      <c r="T3">
        <v>900</v>
      </c>
      <c r="AE3" t="s">
        <v>29</v>
      </c>
      <c r="AF3">
        <v>0</v>
      </c>
      <c r="AG3">
        <f>AB5</f>
        <v>-2.7866608829743006E-6</v>
      </c>
    </row>
    <row r="4" spans="1:35" x14ac:dyDescent="0.3">
      <c r="A4" t="s">
        <v>15</v>
      </c>
      <c r="B4">
        <f>B3*9.81/1000</f>
        <v>0</v>
      </c>
      <c r="C4">
        <f>C3*9.81/1000</f>
        <v>0</v>
      </c>
      <c r="D4">
        <f t="shared" ref="D4:T4" si="0">D3*9.81/1000</f>
        <v>0.39240000000000003</v>
      </c>
      <c r="E4">
        <f t="shared" si="0"/>
        <v>0</v>
      </c>
      <c r="F4">
        <f t="shared" si="0"/>
        <v>0.58860000000000001</v>
      </c>
      <c r="G4">
        <f t="shared" si="0"/>
        <v>0</v>
      </c>
      <c r="H4">
        <f t="shared" si="0"/>
        <v>0.98099999999999998</v>
      </c>
      <c r="I4">
        <f t="shared" si="0"/>
        <v>0</v>
      </c>
      <c r="J4">
        <f t="shared" si="0"/>
        <v>1.962</v>
      </c>
      <c r="K4">
        <f t="shared" si="0"/>
        <v>0</v>
      </c>
      <c r="L4">
        <f t="shared" si="0"/>
        <v>2.9430000000000001</v>
      </c>
      <c r="M4">
        <f t="shared" si="0"/>
        <v>0</v>
      </c>
      <c r="N4">
        <f t="shared" si="0"/>
        <v>3.9239999999999999</v>
      </c>
      <c r="O4">
        <f t="shared" si="0"/>
        <v>0</v>
      </c>
      <c r="P4">
        <f t="shared" si="0"/>
        <v>4.9050000000000002</v>
      </c>
      <c r="Q4">
        <f t="shared" si="0"/>
        <v>0</v>
      </c>
      <c r="R4">
        <f t="shared" si="0"/>
        <v>6.867</v>
      </c>
      <c r="S4">
        <f t="shared" si="0"/>
        <v>0</v>
      </c>
      <c r="T4">
        <f t="shared" si="0"/>
        <v>8.8290000000000006</v>
      </c>
      <c r="X4" t="s">
        <v>7</v>
      </c>
      <c r="AE4" t="s">
        <v>32</v>
      </c>
      <c r="AF4">
        <v>1</v>
      </c>
      <c r="AG4">
        <f>AB6+AB5</f>
        <v>1.5669954309274717E-2</v>
      </c>
    </row>
    <row r="5" spans="1:35" x14ac:dyDescent="0.3">
      <c r="A5" s="2" t="s">
        <v>5</v>
      </c>
      <c r="B5">
        <f>C1-AVERAGE(B14:B196)</f>
        <v>0</v>
      </c>
      <c r="D5">
        <f>$C$1-AVERAGE(D14:D196)</f>
        <v>6.267595628415501E-3</v>
      </c>
      <c r="F5">
        <f>$C$1-AVERAGE(F14:F196)</f>
        <v>9.2518579234972531E-3</v>
      </c>
      <c r="H5">
        <f>$C$1-AVERAGE(H14:H196)</f>
        <v>1.5271420765027355E-2</v>
      </c>
      <c r="J5">
        <f>$C$1-AVERAGE(J14:J196)</f>
        <v>3.047508196721338E-2</v>
      </c>
      <c r="L5">
        <f>$C$1-AVERAGE(L14:L196)</f>
        <v>4.5701748633880657E-2</v>
      </c>
      <c r="N5">
        <f>$C$1-AVERAGE(N14:N196)</f>
        <v>6.1176666666667545E-2</v>
      </c>
      <c r="P5">
        <f>$C$1-AVERAGE(P14:P196)</f>
        <v>7.6692240437159331E-2</v>
      </c>
      <c r="R5">
        <f>$C$1-AVERAGE(R14:R196)</f>
        <v>0.10743065573770533</v>
      </c>
      <c r="T5">
        <f>$C$1-AVERAGE(T14:T196)</f>
        <v>0.13894349726775973</v>
      </c>
      <c r="X5" t="s">
        <v>9</v>
      </c>
      <c r="Y5">
        <f>Y9*Y7-Y8^2</f>
        <v>3.2830893869537167E+18</v>
      </c>
      <c r="AA5" t="s">
        <v>20</v>
      </c>
      <c r="AB5">
        <f>(Y7*Y10-Y8*Y11)/Y5</f>
        <v>-2.7866608829743006E-6</v>
      </c>
      <c r="AE5" t="s">
        <v>33</v>
      </c>
      <c r="AF5">
        <v>9</v>
      </c>
      <c r="AG5">
        <f>AF5*AB6+AB5</f>
        <v>0.14105188207053626</v>
      </c>
    </row>
    <row r="6" spans="1:35" x14ac:dyDescent="0.3">
      <c r="A6" s="2" t="s">
        <v>24</v>
      </c>
      <c r="B6">
        <f>B5^2</f>
        <v>0</v>
      </c>
      <c r="D6">
        <f t="shared" ref="D6" si="1">D5^2</f>
        <v>3.9282754961333101E-5</v>
      </c>
      <c r="F6">
        <f t="shared" ref="F6" si="2">F5^2</f>
        <v>8.5596875036578906E-5</v>
      </c>
      <c r="H6">
        <f t="shared" ref="H6" si="3">H5^2</f>
        <v>2.3321629218250867E-4</v>
      </c>
      <c r="J6">
        <f t="shared" ref="J6" si="4">J5^2</f>
        <v>9.2873062090837409E-4</v>
      </c>
      <c r="L6">
        <f t="shared" ref="L6" si="5">L5^2</f>
        <v>2.0886498281944125E-3</v>
      </c>
      <c r="N6">
        <f t="shared" ref="N6" si="6">N5^2</f>
        <v>3.7425845444445521E-3</v>
      </c>
      <c r="P6">
        <f t="shared" ref="P6" si="7">P5^2</f>
        <v>5.8816997432710573E-3</v>
      </c>
      <c r="R6">
        <f t="shared" ref="R6" si="8">R5^2</f>
        <v>1.1541345792233359E-2</v>
      </c>
      <c r="T6">
        <f t="shared" ref="T6" si="9">T5^2</f>
        <v>1.9305295432995955E-2</v>
      </c>
      <c r="AA6" t="s">
        <v>25</v>
      </c>
      <c r="AB6">
        <f>(Y9*Y11-Y8*Y10)/Y5</f>
        <v>1.5672740970157691E-2</v>
      </c>
      <c r="AD6" t="s">
        <v>26</v>
      </c>
      <c r="AE6">
        <f>AB6^(-1)</f>
        <v>63.805048644910926</v>
      </c>
      <c r="AH6" t="s">
        <v>36</v>
      </c>
      <c r="AI6">
        <f>AE6-AH8</f>
        <v>0.34039664288152238</v>
      </c>
    </row>
    <row r="7" spans="1:35" x14ac:dyDescent="0.3">
      <c r="A7" s="3" t="s">
        <v>6</v>
      </c>
      <c r="B7" s="3">
        <f>_xlfn.STDEV.S(B14:B400)+C2</f>
        <v>5.5992397207178129E-4</v>
      </c>
      <c r="C7" s="3"/>
      <c r="D7" s="3">
        <f>_xlfn.STDEV.S(D14:D195)+$C$3</f>
        <v>1.6140570984076599E-4</v>
      </c>
      <c r="E7" s="3"/>
      <c r="F7" s="3">
        <f>_xlfn.STDEV.S(F14:F195)+$C$2</f>
        <v>3.217507502492355E-4</v>
      </c>
      <c r="G7" s="3"/>
      <c r="H7" s="3">
        <f>_xlfn.STDEV.S(H14:H195)+$C$2</f>
        <v>2.6377003686794086E-4</v>
      </c>
      <c r="I7" s="3"/>
      <c r="J7" s="3">
        <f>_xlfn.STDEV.S(J14:J195)+$C$3</f>
        <v>2.3100472674285777E-4</v>
      </c>
      <c r="K7" s="3"/>
      <c r="L7" s="3">
        <f>_xlfn.STDEV.S(L14:L195)+$C$2</f>
        <v>3.657602433646627E-4</v>
      </c>
      <c r="M7" s="3"/>
      <c r="N7" s="3">
        <f>_xlfn.STDEV.S(N14:N195)+$C$2</f>
        <v>2.787598948223344E-4</v>
      </c>
      <c r="O7" s="3"/>
      <c r="P7" s="3">
        <f>_xlfn.STDEV.S(P14:P195)+$C$2</f>
        <v>1.0590332910300707E-3</v>
      </c>
      <c r="Q7" s="3"/>
      <c r="R7" s="3">
        <f>_xlfn.STDEV.S(R14:R195)+$C$2</f>
        <v>3.123466178547034E-4</v>
      </c>
      <c r="S7" s="3"/>
      <c r="T7" s="3">
        <f>_xlfn.STDEV.S(T14:T195)+$C$2</f>
        <v>3.2056312994166696E-4</v>
      </c>
      <c r="U7" s="3"/>
      <c r="X7" s="4" t="s">
        <v>10</v>
      </c>
      <c r="Y7" s="4">
        <f>SUM(B10:U10)</f>
        <v>1621490103.181406</v>
      </c>
      <c r="Z7" s="4"/>
      <c r="AA7" s="4"/>
      <c r="AB7" s="4"/>
      <c r="AH7" t="s">
        <v>37</v>
      </c>
      <c r="AI7">
        <f>AH9+AB8</f>
        <v>1.0426296291777999E-4</v>
      </c>
    </row>
    <row r="8" spans="1:35" x14ac:dyDescent="0.3">
      <c r="A8" s="1" t="s">
        <v>8</v>
      </c>
      <c r="B8">
        <f>1/(B7)^2</f>
        <v>3189641.5294030532</v>
      </c>
      <c r="D8">
        <f t="shared" ref="D8" si="10">1/(D7)^2</f>
        <v>38385058.934507869</v>
      </c>
      <c r="F8">
        <f t="shared" ref="F8" si="11">1/(F7)^2</f>
        <v>9659638.2710606158</v>
      </c>
      <c r="H8">
        <f t="shared" ref="H8" si="12">1/(H7)^2</f>
        <v>14373054.750462469</v>
      </c>
      <c r="J8">
        <f t="shared" ref="J8" si="13">1/(J7)^2</f>
        <v>18739511.573536295</v>
      </c>
      <c r="L8">
        <f t="shared" ref="L8" si="14">1/(L7)^2</f>
        <v>7474927.842236639</v>
      </c>
      <c r="N8">
        <f t="shared" ref="N8" si="15">1/(N7)^2</f>
        <v>12868840.437269116</v>
      </c>
      <c r="P8">
        <f t="shared" ref="P8" si="16">1/(P7)^2</f>
        <v>891621.99839904497</v>
      </c>
      <c r="R8">
        <f t="shared" ref="R8" si="17">1/(R7)^2</f>
        <v>10250059.457785996</v>
      </c>
      <c r="T8">
        <f t="shared" ref="T8" si="18">1/(T7)^2</f>
        <v>9731344.7910320703</v>
      </c>
      <c r="X8" t="s">
        <v>11</v>
      </c>
      <c r="Y8">
        <f>SUM(B9:U9)</f>
        <v>304789498.5040614</v>
      </c>
      <c r="AA8" t="s">
        <v>34</v>
      </c>
      <c r="AB8">
        <f>SQRT(Y9/Y5)</f>
        <v>2.5182672374945272E-5</v>
      </c>
      <c r="AD8" t="s">
        <v>26</v>
      </c>
      <c r="AE8">
        <v>31.482092370296847</v>
      </c>
      <c r="AF8">
        <v>3.7461064840884939E-5</v>
      </c>
      <c r="AG8" t="s">
        <v>27</v>
      </c>
      <c r="AH8">
        <f>AE8+AE9</f>
        <v>63.464652002029403</v>
      </c>
    </row>
    <row r="9" spans="1:35" x14ac:dyDescent="0.3">
      <c r="A9" s="1" t="s">
        <v>12</v>
      </c>
      <c r="B9">
        <f>B4*B8</f>
        <v>0</v>
      </c>
      <c r="D9">
        <f t="shared" ref="D9" si="19">D4*D8</f>
        <v>15062297.125900889</v>
      </c>
      <c r="F9">
        <f t="shared" ref="F9" si="20">F4*F8</f>
        <v>5685663.0863462789</v>
      </c>
      <c r="H9">
        <f t="shared" ref="H9" si="21">H4*H8</f>
        <v>14099966.710203681</v>
      </c>
      <c r="J9">
        <f t="shared" ref="J9" si="22">J4*J8</f>
        <v>36766921.707278214</v>
      </c>
      <c r="L9">
        <f t="shared" ref="L9" si="23">L4*L8</f>
        <v>21998712.639702428</v>
      </c>
      <c r="N9">
        <f t="shared" ref="N9" si="24">N4*N8</f>
        <v>50497329.875844009</v>
      </c>
      <c r="P9">
        <f t="shared" ref="P9" si="25">P4*P8</f>
        <v>4373405.9021473154</v>
      </c>
      <c r="R9">
        <f t="shared" ref="R9" si="26">R4*R8</f>
        <v>70387158.296616435</v>
      </c>
      <c r="T9">
        <f t="shared" ref="T9" si="27">T4*T8</f>
        <v>85918043.160022154</v>
      </c>
      <c r="X9" t="s">
        <v>8</v>
      </c>
      <c r="Y9">
        <f>SUM(B8:U65)</f>
        <v>2082026907.6747994</v>
      </c>
      <c r="AD9" t="s">
        <v>26</v>
      </c>
      <c r="AE9">
        <v>31.982559631732556</v>
      </c>
      <c r="AF9">
        <v>4.1619225701949774E-5</v>
      </c>
      <c r="AG9" t="s">
        <v>35</v>
      </c>
      <c r="AH9">
        <f>AF8+AF9</f>
        <v>7.9080290542834713E-5</v>
      </c>
    </row>
    <row r="10" spans="1:35" x14ac:dyDescent="0.3">
      <c r="A10" s="1" t="s">
        <v>13</v>
      </c>
      <c r="B10">
        <f>B4^2*B8</f>
        <v>0</v>
      </c>
      <c r="D10">
        <f t="shared" ref="D10:T10" si="28">D4^2*D8</f>
        <v>5910445.3922035089</v>
      </c>
      <c r="F10">
        <f t="shared" ref="F10:T10" si="29">F4^2*F8</f>
        <v>3346581.2926234193</v>
      </c>
      <c r="H10">
        <f t="shared" ref="H10:T10" si="30">H4^2*H8</f>
        <v>13832067.342709811</v>
      </c>
      <c r="J10">
        <f t="shared" ref="J10:T10" si="31">J4^2*J8</f>
        <v>72136700.389679849</v>
      </c>
      <c r="L10">
        <f t="shared" ref="L10:T10" si="32">L4^2*L8</f>
        <v>64742211.298644245</v>
      </c>
      <c r="N10">
        <f t="shared" ref="N10:T10" si="33">N4^2*N8</f>
        <v>198151522.43281192</v>
      </c>
      <c r="P10">
        <f t="shared" ref="P10:T10" si="34">P4^2*P8</f>
        <v>21451555.950032584</v>
      </c>
      <c r="R10">
        <f t="shared" ref="R10:T10" si="35">R4^2*R8</f>
        <v>483348616.02286506</v>
      </c>
      <c r="T10">
        <f t="shared" ref="T10" si="36">T4^2*T8</f>
        <v>758570403.05983567</v>
      </c>
      <c r="X10" t="s">
        <v>18</v>
      </c>
      <c r="Y10">
        <f>SUM(B11:U11)</f>
        <v>4771084.9575375021</v>
      </c>
    </row>
    <row r="11" spans="1:35" x14ac:dyDescent="0.3">
      <c r="A11" s="1" t="s">
        <v>16</v>
      </c>
      <c r="B11">
        <f>B8*B5</f>
        <v>0</v>
      </c>
      <c r="D11">
        <f t="shared" ref="D11:T11" si="37">D8*D5</f>
        <v>240582.02757439288</v>
      </c>
      <c r="F11">
        <f>F8*F5</f>
        <v>89369.600876229466</v>
      </c>
      <c r="H11">
        <f t="shared" ref="H11:T11" si="38">H8*H5</f>
        <v>219496.96677308762</v>
      </c>
      <c r="J11">
        <f t="shared" ref="J11:T11" si="39">J8*J5</f>
        <v>571088.15122906235</v>
      </c>
      <c r="L11">
        <f t="shared" ref="L11:T11" si="40">L8*L5</f>
        <v>341617.27330229478</v>
      </c>
      <c r="N11">
        <f t="shared" ref="N11:T11" si="41">N8*N5</f>
        <v>787272.76181734493</v>
      </c>
      <c r="P11">
        <f t="shared" ref="P11:T11" si="42">P8*P5</f>
        <v>68380.488680280047</v>
      </c>
      <c r="R11">
        <f t="shared" ref="R11:T11" si="43">R8*R5</f>
        <v>1101170.6089004178</v>
      </c>
      <c r="T11">
        <f t="shared" ref="T11" si="44">T8*T5</f>
        <v>1352107.0783843924</v>
      </c>
      <c r="X11" t="s">
        <v>19</v>
      </c>
      <c r="Y11">
        <f>SUM(B12:U12)</f>
        <v>25412345.027863421</v>
      </c>
    </row>
    <row r="12" spans="1:35" x14ac:dyDescent="0.3">
      <c r="A12" s="1" t="s">
        <v>17</v>
      </c>
      <c r="B12">
        <f>B8*B5*B4</f>
        <v>0</v>
      </c>
      <c r="D12">
        <f t="shared" ref="D12:T12" si="45">D8*D5*D4</f>
        <v>94404.387620191774</v>
      </c>
      <c r="F12">
        <f t="shared" ref="F12:T12" si="46">F8*F5*F4</f>
        <v>52602.947075748663</v>
      </c>
      <c r="H12">
        <f t="shared" ref="H12:T12" si="47">H8*H5*H4</f>
        <v>215326.52440439895</v>
      </c>
      <c r="J12">
        <f t="shared" ref="J12:T12" si="48">J8*J5*J4</f>
        <v>1120474.9527114204</v>
      </c>
      <c r="L12">
        <f t="shared" ref="L12:T12" si="49">L8*L5*L4</f>
        <v>1005379.6353286535</v>
      </c>
      <c r="N12">
        <f t="shared" ref="N12:T12" si="50">N8*N5*N4</f>
        <v>3089258.3173712613</v>
      </c>
      <c r="P12">
        <f t="shared" ref="P12:T12" si="51">P8*P5*P4</f>
        <v>335406.29697677365</v>
      </c>
      <c r="R12">
        <f t="shared" ref="R12:T12" si="52">R8*R5*R4</f>
        <v>7561738.5713191694</v>
      </c>
      <c r="T12">
        <f t="shared" ref="T12" si="53">T8*T5*T4</f>
        <v>11937753.395055801</v>
      </c>
    </row>
    <row r="13" spans="1:35" x14ac:dyDescent="0.3">
      <c r="A13" s="1"/>
      <c r="B13" t="s">
        <v>0</v>
      </c>
    </row>
    <row r="14" spans="1:35" x14ac:dyDescent="0.3">
      <c r="A14" s="1"/>
      <c r="B14" s="1">
        <v>0.38943</v>
      </c>
      <c r="D14">
        <v>0.38201000000000002</v>
      </c>
      <c r="F14">
        <v>0.37925999999999999</v>
      </c>
      <c r="H14">
        <v>0.37307000000000001</v>
      </c>
      <c r="J14">
        <v>0.35809999999999997</v>
      </c>
      <c r="L14">
        <v>0.34261999999999998</v>
      </c>
      <c r="N14">
        <v>0.32696999999999998</v>
      </c>
      <c r="P14">
        <v>0.29959000000000002</v>
      </c>
      <c r="R14">
        <v>0.28088000000000002</v>
      </c>
      <c r="T14">
        <v>0.24904999999999999</v>
      </c>
    </row>
    <row r="15" spans="1:35" x14ac:dyDescent="0.3">
      <c r="B15" s="1">
        <v>0.38855000000000001</v>
      </c>
      <c r="D15" s="1">
        <v>0.38201000000000002</v>
      </c>
      <c r="F15" s="1">
        <v>0.37908999999999998</v>
      </c>
      <c r="H15" s="1">
        <v>0.37307000000000001</v>
      </c>
      <c r="J15" s="1">
        <v>0.35810999999999998</v>
      </c>
      <c r="L15" s="1">
        <v>0.34262999999999999</v>
      </c>
      <c r="N15" s="1">
        <v>0.32713999999999999</v>
      </c>
      <c r="P15" s="1">
        <v>0.31148999999999999</v>
      </c>
      <c r="R15" s="1">
        <v>0.28088000000000002</v>
      </c>
      <c r="T15" s="1">
        <v>0.24923000000000001</v>
      </c>
    </row>
    <row r="16" spans="1:35" x14ac:dyDescent="0.3">
      <c r="B16">
        <v>0.38855000000000001</v>
      </c>
      <c r="D16">
        <v>0.38201000000000002</v>
      </c>
      <c r="F16">
        <v>0.37891999999999998</v>
      </c>
      <c r="H16">
        <v>0.37307000000000001</v>
      </c>
      <c r="J16">
        <v>0.35793999999999998</v>
      </c>
      <c r="L16">
        <v>0.34245999999999999</v>
      </c>
      <c r="N16">
        <v>0.32732</v>
      </c>
      <c r="P16">
        <v>0.31148999999999999</v>
      </c>
      <c r="R16">
        <v>0.28087000000000001</v>
      </c>
      <c r="T16">
        <v>0.24923000000000001</v>
      </c>
    </row>
    <row r="17" spans="2:20" x14ac:dyDescent="0.3">
      <c r="B17">
        <v>0.38836999999999999</v>
      </c>
      <c r="D17">
        <v>0.38201000000000002</v>
      </c>
      <c r="F17">
        <v>0.37874000000000002</v>
      </c>
      <c r="H17">
        <v>0.37307000000000001</v>
      </c>
      <c r="J17">
        <v>0.35776000000000002</v>
      </c>
      <c r="L17">
        <v>0.34227999999999997</v>
      </c>
      <c r="N17">
        <v>0.32732</v>
      </c>
      <c r="P17">
        <v>0.31148999999999999</v>
      </c>
      <c r="R17">
        <v>0.28105000000000002</v>
      </c>
      <c r="T17">
        <v>0.24923000000000001</v>
      </c>
    </row>
    <row r="18" spans="2:20" x14ac:dyDescent="0.3">
      <c r="B18">
        <v>0.38855000000000001</v>
      </c>
      <c r="D18">
        <v>0.38201000000000002</v>
      </c>
      <c r="F18">
        <v>0.37891000000000002</v>
      </c>
      <c r="H18">
        <v>0.37307000000000001</v>
      </c>
      <c r="J18">
        <v>0.35759000000000002</v>
      </c>
      <c r="L18">
        <v>0.34227999999999997</v>
      </c>
      <c r="N18">
        <v>0.32730999999999999</v>
      </c>
      <c r="P18">
        <v>0.31165999999999999</v>
      </c>
      <c r="R18">
        <v>0.28105000000000002</v>
      </c>
      <c r="T18">
        <v>0.24923000000000001</v>
      </c>
    </row>
    <row r="19" spans="2:20" x14ac:dyDescent="0.3">
      <c r="B19">
        <v>0.38855000000000001</v>
      </c>
      <c r="D19">
        <v>0.38201000000000002</v>
      </c>
      <c r="F19">
        <v>0.37907999999999997</v>
      </c>
      <c r="H19">
        <v>0.37307000000000001</v>
      </c>
      <c r="J19">
        <v>0.35758000000000001</v>
      </c>
      <c r="L19">
        <v>0.34227999999999997</v>
      </c>
      <c r="N19">
        <v>0.32749</v>
      </c>
      <c r="P19">
        <v>0.31184000000000001</v>
      </c>
      <c r="R19">
        <v>0.28105000000000002</v>
      </c>
      <c r="T19">
        <v>0.24940000000000001</v>
      </c>
    </row>
    <row r="20" spans="2:20" x14ac:dyDescent="0.3">
      <c r="B20">
        <v>0.38855000000000001</v>
      </c>
      <c r="D20">
        <v>0.38201000000000002</v>
      </c>
      <c r="F20">
        <v>0.37925999999999999</v>
      </c>
      <c r="H20">
        <v>0.37307000000000001</v>
      </c>
      <c r="J20">
        <v>0.35776000000000002</v>
      </c>
      <c r="L20">
        <v>0.34244999999999998</v>
      </c>
      <c r="N20">
        <v>0.32749</v>
      </c>
      <c r="P20">
        <v>0.31184000000000001</v>
      </c>
      <c r="R20">
        <v>0.28088000000000002</v>
      </c>
      <c r="T20">
        <v>0.24940000000000001</v>
      </c>
    </row>
    <row r="21" spans="2:20" x14ac:dyDescent="0.3">
      <c r="B21">
        <v>0.38855000000000001</v>
      </c>
      <c r="D21">
        <v>0.38201000000000002</v>
      </c>
      <c r="F21">
        <v>0.37925999999999999</v>
      </c>
      <c r="H21">
        <v>0.37307000000000001</v>
      </c>
      <c r="J21">
        <v>0.35793000000000003</v>
      </c>
      <c r="L21">
        <v>0.34261999999999998</v>
      </c>
      <c r="N21">
        <v>0.32749</v>
      </c>
      <c r="P21">
        <v>0.31184000000000001</v>
      </c>
      <c r="R21">
        <v>0.28088000000000002</v>
      </c>
      <c r="T21">
        <v>0.24956999999999999</v>
      </c>
    </row>
    <row r="22" spans="2:20" x14ac:dyDescent="0.3">
      <c r="B22">
        <v>0.38838</v>
      </c>
      <c r="D22">
        <v>0.38201000000000002</v>
      </c>
      <c r="F22">
        <v>0.37908999999999998</v>
      </c>
      <c r="H22">
        <v>0.37307000000000001</v>
      </c>
      <c r="J22">
        <v>0.35809999999999997</v>
      </c>
      <c r="L22">
        <v>0.34261999999999998</v>
      </c>
      <c r="N22">
        <v>0.32732</v>
      </c>
      <c r="P22">
        <v>0.31184000000000001</v>
      </c>
      <c r="R22">
        <v>0.28070000000000001</v>
      </c>
      <c r="T22">
        <v>0.24956999999999999</v>
      </c>
    </row>
    <row r="23" spans="2:20" x14ac:dyDescent="0.3">
      <c r="B23">
        <v>0.38836999999999999</v>
      </c>
      <c r="D23">
        <v>0.38201000000000002</v>
      </c>
      <c r="F23">
        <v>0.37891999999999998</v>
      </c>
      <c r="H23">
        <v>0.37307000000000001</v>
      </c>
      <c r="J23">
        <v>0.35810999999999998</v>
      </c>
      <c r="L23">
        <v>0.34279999999999999</v>
      </c>
      <c r="N23">
        <v>0.32732</v>
      </c>
      <c r="P23">
        <v>0.31184000000000001</v>
      </c>
      <c r="R23">
        <v>0.28070000000000001</v>
      </c>
      <c r="T23">
        <v>0.24956999999999999</v>
      </c>
    </row>
    <row r="24" spans="2:20" x14ac:dyDescent="0.3">
      <c r="B24">
        <v>0.38855000000000001</v>
      </c>
      <c r="D24">
        <v>0.38201000000000002</v>
      </c>
      <c r="F24">
        <v>0.37891000000000002</v>
      </c>
      <c r="H24">
        <v>0.37307000000000001</v>
      </c>
      <c r="J24">
        <v>0.35793000000000003</v>
      </c>
      <c r="L24">
        <v>0.34279999999999999</v>
      </c>
      <c r="N24">
        <v>0.32732</v>
      </c>
      <c r="P24">
        <v>0.31165999999999999</v>
      </c>
      <c r="R24">
        <v>0.28070000000000001</v>
      </c>
      <c r="T24">
        <v>0.24956999999999999</v>
      </c>
    </row>
    <row r="25" spans="2:20" x14ac:dyDescent="0.3">
      <c r="B25">
        <v>0.38855000000000001</v>
      </c>
      <c r="D25">
        <v>0.38201000000000002</v>
      </c>
      <c r="F25">
        <v>0.37907999999999997</v>
      </c>
      <c r="H25">
        <v>0.37307000000000001</v>
      </c>
      <c r="J25">
        <v>0.35793999999999998</v>
      </c>
      <c r="L25">
        <v>0.34262999999999999</v>
      </c>
      <c r="N25">
        <v>0.32713999999999999</v>
      </c>
      <c r="P25">
        <v>0.31165999999999999</v>
      </c>
      <c r="R25">
        <v>0.28070000000000001</v>
      </c>
      <c r="T25">
        <v>0.24956999999999999</v>
      </c>
    </row>
    <row r="26" spans="2:20" x14ac:dyDescent="0.3">
      <c r="B26">
        <v>0.38855000000000001</v>
      </c>
      <c r="D26">
        <v>0.38201000000000002</v>
      </c>
      <c r="F26">
        <v>0.37925999999999999</v>
      </c>
      <c r="H26">
        <v>0.37307000000000001</v>
      </c>
      <c r="J26">
        <v>0.35759000000000002</v>
      </c>
      <c r="L26">
        <v>0.34244999999999998</v>
      </c>
      <c r="N26">
        <v>0.32713999999999999</v>
      </c>
      <c r="P26">
        <v>0.31165999999999999</v>
      </c>
      <c r="R26">
        <v>0.28070000000000001</v>
      </c>
      <c r="T26">
        <v>0.24956999999999999</v>
      </c>
    </row>
    <row r="27" spans="2:20" x14ac:dyDescent="0.3">
      <c r="B27">
        <v>0.38838</v>
      </c>
      <c r="D27">
        <v>0.38201000000000002</v>
      </c>
      <c r="F27">
        <v>0.37925999999999999</v>
      </c>
      <c r="H27">
        <v>0.37307000000000001</v>
      </c>
      <c r="J27">
        <v>0.35759000000000002</v>
      </c>
      <c r="L27">
        <v>0.34245999999999999</v>
      </c>
      <c r="N27">
        <v>0.32732</v>
      </c>
      <c r="P27">
        <v>0.31165999999999999</v>
      </c>
      <c r="R27">
        <v>0.28070000000000001</v>
      </c>
      <c r="T27">
        <v>0.24940000000000001</v>
      </c>
    </row>
    <row r="28" spans="2:20" x14ac:dyDescent="0.3">
      <c r="B28">
        <v>0.38836999999999999</v>
      </c>
      <c r="D28">
        <v>0.38201000000000002</v>
      </c>
      <c r="F28">
        <v>0.37908999999999998</v>
      </c>
      <c r="H28">
        <v>0.37307000000000001</v>
      </c>
      <c r="J28">
        <v>0.35758000000000001</v>
      </c>
      <c r="L28">
        <v>0.34227999999999997</v>
      </c>
      <c r="N28">
        <v>0.32732</v>
      </c>
      <c r="P28">
        <v>0.31165999999999999</v>
      </c>
      <c r="R28">
        <v>0.28088000000000002</v>
      </c>
      <c r="T28">
        <v>0.24940000000000001</v>
      </c>
    </row>
    <row r="29" spans="2:20" x14ac:dyDescent="0.3">
      <c r="B29">
        <v>0.38855000000000001</v>
      </c>
      <c r="D29">
        <v>0.38201000000000002</v>
      </c>
      <c r="F29">
        <v>0.37908999999999998</v>
      </c>
      <c r="H29">
        <v>0.37307000000000001</v>
      </c>
      <c r="J29">
        <v>0.35776000000000002</v>
      </c>
      <c r="L29">
        <v>0.34227999999999997</v>
      </c>
      <c r="N29">
        <v>0.32730999999999999</v>
      </c>
      <c r="P29">
        <v>0.31165999999999999</v>
      </c>
      <c r="R29">
        <v>0.28087000000000001</v>
      </c>
      <c r="T29">
        <v>0.24923000000000001</v>
      </c>
    </row>
    <row r="30" spans="2:20" x14ac:dyDescent="0.3">
      <c r="B30">
        <v>0.38855000000000001</v>
      </c>
      <c r="D30">
        <v>0.38201000000000002</v>
      </c>
      <c r="F30">
        <v>0.37891999999999998</v>
      </c>
      <c r="H30">
        <v>0.37307000000000001</v>
      </c>
      <c r="J30">
        <v>0.35793000000000003</v>
      </c>
      <c r="L30">
        <v>0.34244999999999998</v>
      </c>
      <c r="N30">
        <v>0.32749</v>
      </c>
      <c r="P30">
        <v>0.31184000000000001</v>
      </c>
      <c r="R30">
        <v>0.28105000000000002</v>
      </c>
      <c r="T30">
        <v>0.24923000000000001</v>
      </c>
    </row>
    <row r="31" spans="2:20" x14ac:dyDescent="0.3">
      <c r="B31">
        <v>0.38855000000000001</v>
      </c>
      <c r="D31">
        <v>0.38218000000000002</v>
      </c>
      <c r="F31">
        <v>0.37891000000000002</v>
      </c>
      <c r="H31">
        <v>0.37307000000000001</v>
      </c>
      <c r="J31">
        <v>0.35809999999999997</v>
      </c>
      <c r="L31">
        <v>0.34261999999999998</v>
      </c>
      <c r="N31">
        <v>0.32749</v>
      </c>
      <c r="P31">
        <v>0.31183</v>
      </c>
      <c r="R31">
        <v>0.28105000000000002</v>
      </c>
      <c r="T31">
        <v>0.24923000000000001</v>
      </c>
    </row>
    <row r="32" spans="2:20" x14ac:dyDescent="0.3">
      <c r="B32">
        <v>0.38855000000000001</v>
      </c>
      <c r="D32">
        <v>0.38218000000000002</v>
      </c>
      <c r="F32">
        <v>0.37925999999999999</v>
      </c>
      <c r="H32">
        <v>0.37307000000000001</v>
      </c>
      <c r="J32">
        <v>0.35810999999999998</v>
      </c>
      <c r="L32">
        <v>0.34279999999999999</v>
      </c>
      <c r="N32">
        <v>0.32749</v>
      </c>
      <c r="P32">
        <v>0.31201000000000001</v>
      </c>
      <c r="R32">
        <v>0.28105000000000002</v>
      </c>
      <c r="T32">
        <v>0.24923000000000001</v>
      </c>
    </row>
    <row r="33" spans="2:20" x14ac:dyDescent="0.3">
      <c r="B33">
        <v>0.38838</v>
      </c>
      <c r="D33">
        <v>0.38218000000000002</v>
      </c>
      <c r="F33">
        <v>0.37925999999999999</v>
      </c>
      <c r="H33">
        <v>0.37307000000000001</v>
      </c>
      <c r="J33">
        <v>0.35793999999999998</v>
      </c>
      <c r="L33">
        <v>0.34279999999999999</v>
      </c>
      <c r="N33">
        <v>0.32732</v>
      </c>
      <c r="P33">
        <v>0.31184000000000001</v>
      </c>
      <c r="R33">
        <v>0.28105000000000002</v>
      </c>
      <c r="T33">
        <v>0.24923000000000001</v>
      </c>
    </row>
    <row r="34" spans="2:20" x14ac:dyDescent="0.3">
      <c r="B34">
        <v>0.38836999999999999</v>
      </c>
      <c r="D34">
        <v>0.38218000000000002</v>
      </c>
      <c r="F34">
        <v>0.37925999999999999</v>
      </c>
      <c r="H34">
        <v>0.37306</v>
      </c>
      <c r="J34">
        <v>0.35776000000000002</v>
      </c>
      <c r="L34">
        <v>0.34279999999999999</v>
      </c>
      <c r="N34">
        <v>0.32732</v>
      </c>
      <c r="P34">
        <v>0.31184000000000001</v>
      </c>
      <c r="R34">
        <v>0.28105000000000002</v>
      </c>
      <c r="T34">
        <v>0.24923000000000001</v>
      </c>
    </row>
    <row r="35" spans="2:20" x14ac:dyDescent="0.3">
      <c r="B35">
        <v>0.38855000000000001</v>
      </c>
      <c r="D35">
        <v>0.38218999999999997</v>
      </c>
      <c r="F35">
        <v>0.37908999999999998</v>
      </c>
      <c r="H35">
        <v>0.37324000000000002</v>
      </c>
      <c r="J35">
        <v>0.35776000000000002</v>
      </c>
      <c r="L35">
        <v>0.34261999999999998</v>
      </c>
      <c r="N35">
        <v>0.32713999999999999</v>
      </c>
      <c r="P35">
        <v>0.31184000000000001</v>
      </c>
      <c r="R35">
        <v>0.28105000000000002</v>
      </c>
      <c r="T35">
        <v>0.24940000000000001</v>
      </c>
    </row>
    <row r="36" spans="2:20" x14ac:dyDescent="0.3">
      <c r="B36">
        <v>0.38855000000000001</v>
      </c>
      <c r="D36">
        <v>0.38201000000000002</v>
      </c>
      <c r="F36">
        <v>0.37891999999999998</v>
      </c>
      <c r="H36">
        <v>0.37324000000000002</v>
      </c>
      <c r="J36">
        <v>0.35759000000000002</v>
      </c>
      <c r="L36">
        <v>0.34262999999999999</v>
      </c>
      <c r="N36">
        <v>0.32713999999999999</v>
      </c>
      <c r="P36">
        <v>0.31165999999999999</v>
      </c>
      <c r="R36">
        <v>0.28088000000000002</v>
      </c>
      <c r="T36">
        <v>0.24940000000000001</v>
      </c>
    </row>
    <row r="37" spans="2:20" x14ac:dyDescent="0.3">
      <c r="B37">
        <v>0.38855000000000001</v>
      </c>
      <c r="D37">
        <v>0.38218000000000002</v>
      </c>
      <c r="F37">
        <v>0.37891000000000002</v>
      </c>
      <c r="H37">
        <v>0.37307000000000001</v>
      </c>
      <c r="J37">
        <v>0.35758000000000001</v>
      </c>
      <c r="L37">
        <v>0.34244999999999998</v>
      </c>
      <c r="N37">
        <v>0.32713999999999999</v>
      </c>
      <c r="P37">
        <v>0.31165999999999999</v>
      </c>
      <c r="R37">
        <v>0.28088000000000002</v>
      </c>
      <c r="T37">
        <v>0.24940000000000001</v>
      </c>
    </row>
    <row r="38" spans="2:20" x14ac:dyDescent="0.3">
      <c r="B38">
        <v>0.38855000000000001</v>
      </c>
      <c r="D38">
        <v>0.38218000000000002</v>
      </c>
      <c r="F38">
        <v>0.37907999999999997</v>
      </c>
      <c r="H38">
        <v>0.37307000000000001</v>
      </c>
      <c r="J38">
        <v>0.35776000000000002</v>
      </c>
      <c r="L38">
        <v>0.34244999999999998</v>
      </c>
      <c r="N38">
        <v>0.32713999999999999</v>
      </c>
      <c r="P38">
        <v>0.31165999999999999</v>
      </c>
      <c r="R38">
        <v>0.28088000000000002</v>
      </c>
      <c r="T38">
        <v>0.24956999999999999</v>
      </c>
    </row>
    <row r="39" spans="2:20" x14ac:dyDescent="0.3">
      <c r="B39">
        <v>0.38836999999999999</v>
      </c>
      <c r="D39">
        <v>0.38218000000000002</v>
      </c>
      <c r="F39">
        <v>0.37925999999999999</v>
      </c>
      <c r="H39">
        <v>0.37307000000000001</v>
      </c>
      <c r="J39">
        <v>0.35793000000000003</v>
      </c>
      <c r="L39">
        <v>0.34244999999999998</v>
      </c>
      <c r="N39">
        <v>0.32713999999999999</v>
      </c>
      <c r="P39">
        <v>0.31165999999999999</v>
      </c>
      <c r="R39">
        <v>0.28070000000000001</v>
      </c>
      <c r="T39">
        <v>0.24956999999999999</v>
      </c>
    </row>
    <row r="40" spans="2:20" x14ac:dyDescent="0.3">
      <c r="B40">
        <v>0.38855000000000001</v>
      </c>
      <c r="D40">
        <v>0.38218999999999997</v>
      </c>
      <c r="F40">
        <v>0.37925999999999999</v>
      </c>
      <c r="H40">
        <v>0.37307000000000001</v>
      </c>
      <c r="J40">
        <v>0.35809999999999997</v>
      </c>
      <c r="L40">
        <v>0.34261999999999998</v>
      </c>
      <c r="N40">
        <v>0.32732</v>
      </c>
      <c r="P40">
        <v>0.31165999999999999</v>
      </c>
      <c r="R40">
        <v>0.28088000000000002</v>
      </c>
      <c r="T40">
        <v>0.24956999999999999</v>
      </c>
    </row>
    <row r="41" spans="2:20" x14ac:dyDescent="0.3">
      <c r="B41">
        <v>0.38855000000000001</v>
      </c>
      <c r="D41">
        <v>0.38201000000000002</v>
      </c>
      <c r="F41">
        <v>0.37925999999999999</v>
      </c>
      <c r="H41">
        <v>0.37307000000000001</v>
      </c>
      <c r="J41">
        <v>0.35809999999999997</v>
      </c>
      <c r="L41">
        <v>0.34279999999999999</v>
      </c>
      <c r="N41">
        <v>0.32732</v>
      </c>
      <c r="P41">
        <v>0.31165999999999999</v>
      </c>
      <c r="R41">
        <v>0.28087000000000001</v>
      </c>
      <c r="T41">
        <v>0.24956999999999999</v>
      </c>
    </row>
    <row r="42" spans="2:20" x14ac:dyDescent="0.3">
      <c r="B42">
        <v>0.38855000000000001</v>
      </c>
      <c r="D42">
        <v>0.38201000000000002</v>
      </c>
      <c r="F42">
        <v>0.37908999999999998</v>
      </c>
      <c r="H42">
        <v>0.37307000000000001</v>
      </c>
      <c r="J42">
        <v>0.35810999999999998</v>
      </c>
      <c r="L42">
        <v>0.34278999999999998</v>
      </c>
      <c r="N42">
        <v>0.32732</v>
      </c>
      <c r="P42">
        <v>0.31184000000000001</v>
      </c>
      <c r="R42">
        <v>0.28105000000000002</v>
      </c>
      <c r="T42">
        <v>0.24956999999999999</v>
      </c>
    </row>
    <row r="43" spans="2:20" x14ac:dyDescent="0.3">
      <c r="B43">
        <v>0.38855000000000001</v>
      </c>
      <c r="D43">
        <v>0.38201000000000002</v>
      </c>
      <c r="F43">
        <v>0.37891999999999998</v>
      </c>
      <c r="H43">
        <v>0.37307000000000001</v>
      </c>
      <c r="J43">
        <v>0.35793999999999998</v>
      </c>
      <c r="L43">
        <v>0.34297</v>
      </c>
      <c r="N43">
        <v>0.32732</v>
      </c>
      <c r="P43">
        <v>0.31183</v>
      </c>
      <c r="R43">
        <v>0.28105000000000002</v>
      </c>
      <c r="T43">
        <v>0.24956999999999999</v>
      </c>
    </row>
    <row r="44" spans="2:20" x14ac:dyDescent="0.3">
      <c r="B44">
        <v>0.38838</v>
      </c>
      <c r="D44">
        <v>0.38218000000000002</v>
      </c>
      <c r="F44">
        <v>0.37891000000000002</v>
      </c>
      <c r="H44">
        <v>0.37307000000000001</v>
      </c>
      <c r="J44">
        <v>0.35776000000000002</v>
      </c>
      <c r="L44">
        <v>0.34297</v>
      </c>
      <c r="N44">
        <v>0.32732</v>
      </c>
      <c r="P44">
        <v>0.31201000000000001</v>
      </c>
      <c r="R44">
        <v>0.28122000000000003</v>
      </c>
      <c r="T44">
        <v>0.24940000000000001</v>
      </c>
    </row>
    <row r="45" spans="2:20" x14ac:dyDescent="0.3">
      <c r="B45">
        <v>0.38836999999999999</v>
      </c>
      <c r="D45">
        <v>0.38218000000000002</v>
      </c>
      <c r="F45">
        <v>0.37907999999999997</v>
      </c>
      <c r="H45">
        <v>0.37307000000000001</v>
      </c>
      <c r="J45">
        <v>0.35759000000000002</v>
      </c>
      <c r="L45">
        <v>0.34279999999999999</v>
      </c>
      <c r="N45">
        <v>0.32732</v>
      </c>
      <c r="P45">
        <v>0.31201000000000001</v>
      </c>
      <c r="R45">
        <v>0.28122000000000003</v>
      </c>
      <c r="T45">
        <v>0.24940000000000001</v>
      </c>
    </row>
    <row r="46" spans="2:20" x14ac:dyDescent="0.3">
      <c r="B46">
        <v>0.38854</v>
      </c>
      <c r="D46">
        <v>0.38218000000000002</v>
      </c>
      <c r="F46">
        <v>0.37925999999999999</v>
      </c>
      <c r="H46">
        <v>0.37307000000000001</v>
      </c>
      <c r="J46">
        <v>0.35758000000000001</v>
      </c>
      <c r="L46">
        <v>0.34279999999999999</v>
      </c>
      <c r="N46">
        <v>0.32713999999999999</v>
      </c>
      <c r="P46">
        <v>0.31184000000000001</v>
      </c>
      <c r="R46">
        <v>0.28122000000000003</v>
      </c>
      <c r="T46">
        <v>0.24940000000000001</v>
      </c>
    </row>
    <row r="47" spans="2:20" x14ac:dyDescent="0.3">
      <c r="B47">
        <v>0.38872000000000001</v>
      </c>
      <c r="D47">
        <v>0.38218999999999997</v>
      </c>
      <c r="F47">
        <v>0.37944</v>
      </c>
      <c r="H47">
        <v>0.37307000000000001</v>
      </c>
      <c r="J47">
        <v>0.35776000000000002</v>
      </c>
      <c r="L47">
        <v>0.34261999999999998</v>
      </c>
      <c r="N47">
        <v>0.32713999999999999</v>
      </c>
      <c r="P47">
        <v>0.31184000000000001</v>
      </c>
      <c r="R47">
        <v>0.28122000000000003</v>
      </c>
      <c r="T47">
        <v>0.24940000000000001</v>
      </c>
    </row>
    <row r="48" spans="2:20" x14ac:dyDescent="0.3">
      <c r="B48">
        <v>0.38855000000000001</v>
      </c>
      <c r="D48">
        <v>0.38201000000000002</v>
      </c>
      <c r="F48">
        <v>0.37925999999999999</v>
      </c>
      <c r="H48">
        <v>0.37306</v>
      </c>
      <c r="J48">
        <v>0.35793000000000003</v>
      </c>
      <c r="L48">
        <v>0.34261999999999998</v>
      </c>
      <c r="N48">
        <v>0.32713999999999999</v>
      </c>
      <c r="P48">
        <v>0.31165999999999999</v>
      </c>
      <c r="R48">
        <v>0.28122000000000003</v>
      </c>
      <c r="T48">
        <v>0.24940000000000001</v>
      </c>
    </row>
    <row r="49" spans="2:20" x14ac:dyDescent="0.3">
      <c r="B49">
        <v>0.38855000000000001</v>
      </c>
      <c r="D49">
        <v>0.38201000000000002</v>
      </c>
      <c r="F49">
        <v>0.37908999999999998</v>
      </c>
      <c r="H49">
        <v>0.37324000000000002</v>
      </c>
      <c r="J49">
        <v>0.35809999999999997</v>
      </c>
      <c r="L49">
        <v>0.34261999999999998</v>
      </c>
      <c r="N49">
        <v>0.32713999999999999</v>
      </c>
      <c r="P49">
        <v>0.31165999999999999</v>
      </c>
      <c r="R49">
        <v>0.28105000000000002</v>
      </c>
      <c r="T49">
        <v>0.24940000000000001</v>
      </c>
    </row>
    <row r="50" spans="2:20" x14ac:dyDescent="0.3">
      <c r="B50">
        <v>0.38838</v>
      </c>
      <c r="D50">
        <v>0.38218000000000002</v>
      </c>
      <c r="F50">
        <v>0.37908999999999998</v>
      </c>
      <c r="H50">
        <v>0.37324000000000002</v>
      </c>
      <c r="J50">
        <v>0.35827999999999999</v>
      </c>
      <c r="L50">
        <v>0.34261999999999998</v>
      </c>
      <c r="N50">
        <v>0.32713999999999999</v>
      </c>
      <c r="P50">
        <v>0.31165999999999999</v>
      </c>
      <c r="R50">
        <v>0.28105000000000002</v>
      </c>
      <c r="T50">
        <v>0.24940000000000001</v>
      </c>
    </row>
    <row r="51" spans="2:20" x14ac:dyDescent="0.3">
      <c r="B51">
        <v>0.38836999999999999</v>
      </c>
      <c r="D51">
        <v>0.38218000000000002</v>
      </c>
      <c r="F51">
        <v>0.37907999999999997</v>
      </c>
      <c r="H51">
        <v>0.37324000000000002</v>
      </c>
      <c r="J51">
        <v>0.35810999999999998</v>
      </c>
      <c r="L51">
        <v>0.34278999999999998</v>
      </c>
      <c r="N51">
        <v>0.32732</v>
      </c>
      <c r="P51">
        <v>0.31165999999999999</v>
      </c>
      <c r="R51">
        <v>0.28088000000000002</v>
      </c>
      <c r="T51">
        <v>0.24956999999999999</v>
      </c>
    </row>
    <row r="52" spans="2:20" x14ac:dyDescent="0.3">
      <c r="B52">
        <v>0.38855000000000001</v>
      </c>
      <c r="D52">
        <v>0.38218000000000002</v>
      </c>
      <c r="F52">
        <v>0.37925999999999999</v>
      </c>
      <c r="H52">
        <v>0.37324000000000002</v>
      </c>
      <c r="J52">
        <v>0.35793999999999998</v>
      </c>
      <c r="L52">
        <v>0.34297</v>
      </c>
      <c r="N52">
        <v>0.32732</v>
      </c>
      <c r="P52">
        <v>0.31165999999999999</v>
      </c>
      <c r="R52">
        <v>0.28088000000000002</v>
      </c>
      <c r="T52">
        <v>0.24956999999999999</v>
      </c>
    </row>
    <row r="53" spans="2:20" x14ac:dyDescent="0.3">
      <c r="B53">
        <v>0.38855000000000001</v>
      </c>
      <c r="D53">
        <v>0.38218999999999997</v>
      </c>
      <c r="F53">
        <v>0.37925999999999999</v>
      </c>
      <c r="H53">
        <v>0.37307000000000001</v>
      </c>
      <c r="J53">
        <v>0.35776000000000002</v>
      </c>
      <c r="L53">
        <v>0.34295999999999999</v>
      </c>
      <c r="N53">
        <v>0.32732</v>
      </c>
      <c r="P53">
        <v>0.31165999999999999</v>
      </c>
      <c r="R53">
        <v>0.28088000000000002</v>
      </c>
      <c r="T53">
        <v>0.24956999999999999</v>
      </c>
    </row>
    <row r="54" spans="2:20" x14ac:dyDescent="0.3">
      <c r="B54">
        <v>0.38855000000000001</v>
      </c>
      <c r="D54">
        <v>0.38201000000000002</v>
      </c>
      <c r="F54">
        <v>0.37944</v>
      </c>
      <c r="H54">
        <v>0.37307000000000001</v>
      </c>
      <c r="J54">
        <v>0.35776000000000002</v>
      </c>
      <c r="L54">
        <v>0.34314</v>
      </c>
      <c r="N54">
        <v>0.32732</v>
      </c>
      <c r="P54">
        <v>0.31184000000000001</v>
      </c>
      <c r="R54">
        <v>0.28088000000000002</v>
      </c>
      <c r="T54">
        <v>0.24973999999999999</v>
      </c>
    </row>
    <row r="55" spans="2:20" x14ac:dyDescent="0.3">
      <c r="B55">
        <v>0.38838</v>
      </c>
      <c r="D55">
        <v>0.38218000000000002</v>
      </c>
      <c r="F55">
        <v>0.37925999999999999</v>
      </c>
      <c r="H55">
        <v>0.37306</v>
      </c>
      <c r="J55">
        <v>0.35776000000000002</v>
      </c>
      <c r="L55">
        <v>0.34297</v>
      </c>
      <c r="N55">
        <v>0.32732</v>
      </c>
      <c r="P55">
        <v>0.31183</v>
      </c>
      <c r="R55">
        <v>0.28087000000000001</v>
      </c>
      <c r="T55">
        <v>0.24973999999999999</v>
      </c>
    </row>
    <row r="56" spans="2:20" x14ac:dyDescent="0.3">
      <c r="B56">
        <v>0.38836999999999999</v>
      </c>
      <c r="D56">
        <v>0.38218000000000002</v>
      </c>
      <c r="F56">
        <v>0.37908999999999998</v>
      </c>
      <c r="H56">
        <v>0.37324000000000002</v>
      </c>
      <c r="J56">
        <v>0.35792000000000002</v>
      </c>
      <c r="L56">
        <v>0.34279999999999999</v>
      </c>
      <c r="N56">
        <v>0.32732</v>
      </c>
      <c r="P56">
        <v>0.31201000000000001</v>
      </c>
      <c r="R56">
        <v>0.28105000000000002</v>
      </c>
      <c r="T56">
        <v>0.24973999999999999</v>
      </c>
    </row>
    <row r="57" spans="2:20" x14ac:dyDescent="0.3">
      <c r="B57">
        <v>0.38854</v>
      </c>
      <c r="D57">
        <v>0.38218000000000002</v>
      </c>
      <c r="F57">
        <v>0.37891000000000002</v>
      </c>
      <c r="H57">
        <v>0.37324000000000002</v>
      </c>
      <c r="J57">
        <v>0.35827999999999999</v>
      </c>
      <c r="L57">
        <v>0.34279999999999999</v>
      </c>
      <c r="N57">
        <v>0.32713999999999999</v>
      </c>
      <c r="P57">
        <v>0.31201000000000001</v>
      </c>
      <c r="R57">
        <v>0.28105000000000002</v>
      </c>
      <c r="T57">
        <v>0.24975</v>
      </c>
    </row>
    <row r="58" spans="2:20" x14ac:dyDescent="0.3">
      <c r="B58">
        <v>0.38872000000000001</v>
      </c>
      <c r="D58">
        <v>0.38218000000000002</v>
      </c>
      <c r="F58">
        <v>0.37907999999999997</v>
      </c>
      <c r="H58">
        <v>0.37324000000000002</v>
      </c>
      <c r="J58">
        <v>0.35827999999999999</v>
      </c>
      <c r="L58">
        <v>0.34261999999999998</v>
      </c>
      <c r="N58">
        <v>0.32713999999999999</v>
      </c>
      <c r="P58">
        <v>0.31201000000000001</v>
      </c>
      <c r="R58">
        <v>0.28122000000000003</v>
      </c>
      <c r="T58">
        <v>0.24956999999999999</v>
      </c>
    </row>
    <row r="59" spans="2:20" x14ac:dyDescent="0.3">
      <c r="B59">
        <v>0.38855000000000001</v>
      </c>
      <c r="D59">
        <v>0.38218000000000002</v>
      </c>
      <c r="F59">
        <v>0.37925999999999999</v>
      </c>
      <c r="H59">
        <v>0.37307000000000001</v>
      </c>
      <c r="J59">
        <v>0.35827999999999999</v>
      </c>
      <c r="L59">
        <v>0.34261999999999998</v>
      </c>
      <c r="N59">
        <v>0.32713999999999999</v>
      </c>
      <c r="P59">
        <v>0.31184000000000001</v>
      </c>
      <c r="R59">
        <v>0.28122000000000003</v>
      </c>
      <c r="T59">
        <v>0.24956999999999999</v>
      </c>
    </row>
    <row r="60" spans="2:20" x14ac:dyDescent="0.3">
      <c r="B60">
        <v>0.38855000000000001</v>
      </c>
      <c r="D60">
        <v>0.38218999999999997</v>
      </c>
      <c r="F60">
        <v>0.37942999999999999</v>
      </c>
      <c r="H60">
        <v>0.37307000000000001</v>
      </c>
      <c r="J60">
        <v>0.35810999999999998</v>
      </c>
      <c r="L60">
        <v>0.34278999999999998</v>
      </c>
      <c r="N60">
        <v>0.32713999999999999</v>
      </c>
      <c r="P60">
        <v>0.31184000000000001</v>
      </c>
      <c r="R60">
        <v>0.28122000000000003</v>
      </c>
      <c r="T60">
        <v>0.24940000000000001</v>
      </c>
    </row>
    <row r="61" spans="2:20" x14ac:dyDescent="0.3">
      <c r="B61">
        <v>0.38836999999999999</v>
      </c>
      <c r="D61">
        <v>0.38201000000000002</v>
      </c>
      <c r="F61">
        <v>0.37944</v>
      </c>
      <c r="H61">
        <v>0.37307000000000001</v>
      </c>
      <c r="J61">
        <v>0.35793999999999998</v>
      </c>
      <c r="L61">
        <v>0.34297</v>
      </c>
      <c r="N61">
        <v>0.32713999999999999</v>
      </c>
      <c r="P61">
        <v>0.31165999999999999</v>
      </c>
      <c r="R61">
        <v>0.28122000000000003</v>
      </c>
      <c r="T61">
        <v>0.24940000000000001</v>
      </c>
    </row>
    <row r="62" spans="2:20" x14ac:dyDescent="0.3">
      <c r="B62">
        <v>0.38855000000000001</v>
      </c>
      <c r="D62">
        <v>0.38218000000000002</v>
      </c>
      <c r="F62">
        <v>0.37925999999999999</v>
      </c>
      <c r="H62">
        <v>0.37307000000000001</v>
      </c>
      <c r="J62">
        <v>0.35776000000000002</v>
      </c>
      <c r="L62">
        <v>0.34295999999999999</v>
      </c>
      <c r="N62">
        <v>0.32732</v>
      </c>
      <c r="P62">
        <v>0.31165999999999999</v>
      </c>
      <c r="R62">
        <v>0.28122000000000003</v>
      </c>
      <c r="T62">
        <v>0.24940000000000001</v>
      </c>
    </row>
    <row r="63" spans="2:20" x14ac:dyDescent="0.3">
      <c r="B63">
        <v>0.38854</v>
      </c>
      <c r="D63">
        <v>0.38218000000000002</v>
      </c>
      <c r="F63">
        <v>0.37908999999999998</v>
      </c>
      <c r="H63">
        <v>0.37306</v>
      </c>
      <c r="J63">
        <v>0.35776000000000002</v>
      </c>
      <c r="L63">
        <v>0.34314</v>
      </c>
      <c r="N63">
        <v>0.32732</v>
      </c>
      <c r="P63">
        <v>0.31165999999999999</v>
      </c>
      <c r="R63">
        <v>0.28105000000000002</v>
      </c>
      <c r="T63">
        <v>0.24940000000000001</v>
      </c>
    </row>
    <row r="64" spans="2:20" x14ac:dyDescent="0.3">
      <c r="B64">
        <v>0.38872000000000001</v>
      </c>
      <c r="D64">
        <v>0.38218000000000002</v>
      </c>
      <c r="F64">
        <v>0.37908999999999998</v>
      </c>
      <c r="H64">
        <v>0.37324000000000002</v>
      </c>
      <c r="J64">
        <v>0.35793000000000003</v>
      </c>
      <c r="L64">
        <v>0.34314</v>
      </c>
      <c r="N64">
        <v>0.32732</v>
      </c>
      <c r="P64">
        <v>0.31165999999999999</v>
      </c>
      <c r="R64">
        <v>0.28105000000000002</v>
      </c>
      <c r="T64">
        <v>0.24940000000000001</v>
      </c>
    </row>
    <row r="65" spans="2:20" x14ac:dyDescent="0.3">
      <c r="B65">
        <v>0.38855000000000001</v>
      </c>
      <c r="D65">
        <v>0.38218000000000002</v>
      </c>
      <c r="F65">
        <v>0.37907999999999997</v>
      </c>
      <c r="H65">
        <v>0.37324000000000002</v>
      </c>
      <c r="J65">
        <v>0.35809999999999997</v>
      </c>
      <c r="L65">
        <v>0.34297</v>
      </c>
      <c r="N65">
        <v>0.32732</v>
      </c>
      <c r="P65">
        <v>0.31165999999999999</v>
      </c>
      <c r="R65">
        <v>0.28088000000000002</v>
      </c>
      <c r="T65">
        <v>0.24940000000000001</v>
      </c>
    </row>
    <row r="66" spans="2:20" x14ac:dyDescent="0.3">
      <c r="B66">
        <v>0.38838</v>
      </c>
      <c r="D66">
        <v>0.38218000000000002</v>
      </c>
      <c r="F66">
        <v>0.37925999999999999</v>
      </c>
      <c r="H66">
        <v>0.37324000000000002</v>
      </c>
      <c r="J66">
        <v>0.35827999999999999</v>
      </c>
      <c r="L66">
        <v>0.34297</v>
      </c>
      <c r="N66">
        <v>0.32732</v>
      </c>
      <c r="P66">
        <v>0.31184000000000001</v>
      </c>
      <c r="R66">
        <v>0.28088000000000002</v>
      </c>
      <c r="T66">
        <v>0.24940000000000001</v>
      </c>
    </row>
    <row r="67" spans="2:20" x14ac:dyDescent="0.3">
      <c r="B67">
        <v>0.38836999999999999</v>
      </c>
      <c r="D67">
        <v>0.38218000000000002</v>
      </c>
      <c r="F67">
        <v>0.37944</v>
      </c>
      <c r="H67">
        <v>0.37324000000000002</v>
      </c>
      <c r="J67">
        <v>0.35827999999999999</v>
      </c>
      <c r="L67">
        <v>0.34279999999999999</v>
      </c>
      <c r="N67">
        <v>0.32732</v>
      </c>
      <c r="P67">
        <v>0.31183</v>
      </c>
      <c r="R67">
        <v>0.28088000000000002</v>
      </c>
      <c r="T67">
        <v>0.24956999999999999</v>
      </c>
    </row>
    <row r="68" spans="2:20" x14ac:dyDescent="0.3">
      <c r="B68">
        <v>0.38855000000000001</v>
      </c>
      <c r="D68">
        <v>0.38218000000000002</v>
      </c>
      <c r="F68">
        <v>0.37925999999999999</v>
      </c>
      <c r="H68">
        <v>0.37324000000000002</v>
      </c>
      <c r="J68">
        <v>0.35827999999999999</v>
      </c>
      <c r="L68">
        <v>0.34261999999999998</v>
      </c>
      <c r="N68">
        <v>0.32713999999999999</v>
      </c>
      <c r="P68">
        <v>0.31201000000000001</v>
      </c>
      <c r="R68">
        <v>0.28088000000000002</v>
      </c>
      <c r="T68">
        <v>0.24956999999999999</v>
      </c>
    </row>
    <row r="69" spans="2:20" x14ac:dyDescent="0.3">
      <c r="B69">
        <v>0.38855000000000001</v>
      </c>
      <c r="D69">
        <v>0.38218000000000002</v>
      </c>
      <c r="F69">
        <v>0.37925999999999999</v>
      </c>
      <c r="H69">
        <v>0.37324000000000002</v>
      </c>
      <c r="J69">
        <v>0.35810999999999998</v>
      </c>
      <c r="L69">
        <v>0.34261999999999998</v>
      </c>
      <c r="N69">
        <v>0.32713999999999999</v>
      </c>
      <c r="P69">
        <v>0.31201000000000001</v>
      </c>
      <c r="R69">
        <v>0.28087000000000001</v>
      </c>
      <c r="T69">
        <v>0.24973999999999999</v>
      </c>
    </row>
    <row r="70" spans="2:20" x14ac:dyDescent="0.3">
      <c r="B70">
        <v>0.38855000000000001</v>
      </c>
      <c r="D70">
        <v>0.38218000000000002</v>
      </c>
      <c r="F70">
        <v>0.37908999999999998</v>
      </c>
      <c r="H70">
        <v>0.37324000000000002</v>
      </c>
      <c r="J70">
        <v>0.35793000000000003</v>
      </c>
      <c r="L70">
        <v>0.34261999999999998</v>
      </c>
      <c r="N70">
        <v>0.32713999999999999</v>
      </c>
      <c r="P70">
        <v>0.31201000000000001</v>
      </c>
      <c r="R70">
        <v>0.28105000000000002</v>
      </c>
      <c r="T70">
        <v>0.24973999999999999</v>
      </c>
    </row>
    <row r="71" spans="2:20" x14ac:dyDescent="0.3">
      <c r="B71">
        <v>0.38855000000000001</v>
      </c>
      <c r="D71">
        <v>0.38218000000000002</v>
      </c>
      <c r="F71">
        <v>0.37907999999999997</v>
      </c>
      <c r="H71">
        <v>0.37324000000000002</v>
      </c>
      <c r="J71">
        <v>0.35793999999999998</v>
      </c>
      <c r="L71">
        <v>0.34279999999999999</v>
      </c>
      <c r="N71">
        <v>0.32713999999999999</v>
      </c>
      <c r="P71">
        <v>0.31184000000000001</v>
      </c>
      <c r="R71">
        <v>0.28105000000000002</v>
      </c>
      <c r="T71">
        <v>0.24973999999999999</v>
      </c>
    </row>
    <row r="72" spans="2:20" x14ac:dyDescent="0.3">
      <c r="B72">
        <v>0.38838</v>
      </c>
      <c r="D72">
        <v>0.38218000000000002</v>
      </c>
      <c r="F72">
        <v>0.37925999999999999</v>
      </c>
      <c r="H72">
        <v>0.37324000000000002</v>
      </c>
      <c r="J72">
        <v>0.35776000000000002</v>
      </c>
      <c r="L72">
        <v>0.34278999999999998</v>
      </c>
      <c r="N72">
        <v>0.32713999999999999</v>
      </c>
      <c r="P72">
        <v>0.31184000000000001</v>
      </c>
      <c r="R72">
        <v>0.28122000000000003</v>
      </c>
      <c r="T72">
        <v>0.24973999999999999</v>
      </c>
    </row>
    <row r="73" spans="2:20" x14ac:dyDescent="0.3">
      <c r="B73">
        <v>0.38836999999999999</v>
      </c>
      <c r="D73">
        <v>0.38218000000000002</v>
      </c>
      <c r="F73">
        <v>0.37942999999999999</v>
      </c>
      <c r="H73">
        <v>0.37341999999999997</v>
      </c>
      <c r="J73">
        <v>0.35793000000000003</v>
      </c>
      <c r="L73">
        <v>0.34297</v>
      </c>
      <c r="N73">
        <v>0.32713999999999999</v>
      </c>
      <c r="P73">
        <v>0.31165999999999999</v>
      </c>
      <c r="R73">
        <v>0.28122000000000003</v>
      </c>
      <c r="T73">
        <v>0.24975</v>
      </c>
    </row>
    <row r="74" spans="2:20" x14ac:dyDescent="0.3">
      <c r="B74">
        <v>0.38855000000000001</v>
      </c>
      <c r="D74">
        <v>0.38218000000000002</v>
      </c>
      <c r="F74">
        <v>0.37944</v>
      </c>
      <c r="H74">
        <v>0.37324000000000002</v>
      </c>
      <c r="J74">
        <v>0.35809999999999997</v>
      </c>
      <c r="L74">
        <v>0.34297</v>
      </c>
      <c r="N74">
        <v>0.32732</v>
      </c>
      <c r="P74">
        <v>0.31165999999999999</v>
      </c>
      <c r="R74">
        <v>0.28122000000000003</v>
      </c>
      <c r="T74">
        <v>0.24956999999999999</v>
      </c>
    </row>
    <row r="75" spans="2:20" x14ac:dyDescent="0.3">
      <c r="B75">
        <v>0.38855000000000001</v>
      </c>
      <c r="D75">
        <v>0.38218000000000002</v>
      </c>
      <c r="F75">
        <v>0.37925999999999999</v>
      </c>
      <c r="H75">
        <v>0.37324000000000002</v>
      </c>
      <c r="J75">
        <v>0.35826999999999998</v>
      </c>
      <c r="L75">
        <v>0.34279999999999999</v>
      </c>
      <c r="N75">
        <v>0.32732</v>
      </c>
      <c r="P75">
        <v>0.31165999999999999</v>
      </c>
      <c r="R75">
        <v>0.28122000000000003</v>
      </c>
      <c r="T75">
        <v>0.24956999999999999</v>
      </c>
    </row>
    <row r="76" spans="2:20" x14ac:dyDescent="0.3">
      <c r="B76">
        <v>0.38855000000000001</v>
      </c>
      <c r="D76">
        <v>0.38218000000000002</v>
      </c>
      <c r="F76">
        <v>0.37908999999999998</v>
      </c>
      <c r="H76">
        <v>0.37324000000000002</v>
      </c>
      <c r="J76">
        <v>0.35844999999999999</v>
      </c>
      <c r="L76">
        <v>0.34279999999999999</v>
      </c>
      <c r="N76">
        <v>0.32732</v>
      </c>
      <c r="P76">
        <v>0.31165999999999999</v>
      </c>
      <c r="R76">
        <v>0.28122000000000003</v>
      </c>
      <c r="T76">
        <v>0.24940000000000001</v>
      </c>
    </row>
    <row r="77" spans="2:20" x14ac:dyDescent="0.3">
      <c r="B77">
        <v>0.38838</v>
      </c>
      <c r="D77">
        <v>0.38218000000000002</v>
      </c>
      <c r="F77">
        <v>0.37908999999999998</v>
      </c>
      <c r="H77">
        <v>0.37324000000000002</v>
      </c>
      <c r="J77">
        <v>0.35827999999999999</v>
      </c>
      <c r="L77">
        <v>0.34262999999999999</v>
      </c>
      <c r="N77">
        <v>0.32732</v>
      </c>
      <c r="P77">
        <v>0.31165999999999999</v>
      </c>
      <c r="R77">
        <v>0.28105000000000002</v>
      </c>
      <c r="T77">
        <v>0.24940000000000001</v>
      </c>
    </row>
    <row r="78" spans="2:20" x14ac:dyDescent="0.3">
      <c r="B78">
        <v>0.38836999999999999</v>
      </c>
      <c r="D78">
        <v>0.38218000000000002</v>
      </c>
      <c r="F78">
        <v>0.37907999999999997</v>
      </c>
      <c r="H78">
        <v>0.37324000000000002</v>
      </c>
      <c r="J78">
        <v>0.35810999999999998</v>
      </c>
      <c r="L78">
        <v>0.34244999999999998</v>
      </c>
      <c r="N78">
        <v>0.32732</v>
      </c>
      <c r="P78">
        <v>0.31184000000000001</v>
      </c>
      <c r="R78">
        <v>0.28105000000000002</v>
      </c>
      <c r="T78">
        <v>0.24940000000000001</v>
      </c>
    </row>
    <row r="79" spans="2:20" x14ac:dyDescent="0.3">
      <c r="B79">
        <v>0.38854</v>
      </c>
      <c r="D79">
        <v>0.38218999999999997</v>
      </c>
      <c r="F79">
        <v>0.37925999999999999</v>
      </c>
      <c r="H79">
        <v>0.37341000000000002</v>
      </c>
      <c r="J79">
        <v>0.35793999999999998</v>
      </c>
      <c r="L79">
        <v>0.34244999999999998</v>
      </c>
      <c r="N79">
        <v>0.32713999999999999</v>
      </c>
      <c r="P79">
        <v>0.31183</v>
      </c>
      <c r="R79">
        <v>0.28088000000000002</v>
      </c>
      <c r="T79">
        <v>0.24923000000000001</v>
      </c>
    </row>
    <row r="80" spans="2:20" x14ac:dyDescent="0.3">
      <c r="B80">
        <v>0.38872000000000001</v>
      </c>
      <c r="D80">
        <v>0.38201000000000002</v>
      </c>
      <c r="F80">
        <v>0.37925999999999999</v>
      </c>
      <c r="H80">
        <v>0.37341999999999997</v>
      </c>
      <c r="J80">
        <v>0.35776000000000002</v>
      </c>
      <c r="L80">
        <v>0.34244999999999998</v>
      </c>
      <c r="N80">
        <v>0.32713999999999999</v>
      </c>
      <c r="P80">
        <v>0.31201000000000001</v>
      </c>
      <c r="R80">
        <v>0.28088000000000002</v>
      </c>
      <c r="T80">
        <v>0.24940000000000001</v>
      </c>
    </row>
    <row r="81" spans="2:20" x14ac:dyDescent="0.3">
      <c r="B81">
        <v>0.38855000000000001</v>
      </c>
      <c r="D81">
        <v>0.38218000000000002</v>
      </c>
      <c r="F81">
        <v>0.37925999999999999</v>
      </c>
      <c r="H81">
        <v>0.37324000000000002</v>
      </c>
      <c r="J81">
        <v>0.35776000000000002</v>
      </c>
      <c r="L81">
        <v>0.34261999999999998</v>
      </c>
      <c r="N81">
        <v>0.32713999999999999</v>
      </c>
      <c r="P81">
        <v>0.31201000000000001</v>
      </c>
      <c r="R81">
        <v>0.28088000000000002</v>
      </c>
      <c r="T81">
        <v>0.24940000000000001</v>
      </c>
    </row>
    <row r="82" spans="2:20" x14ac:dyDescent="0.3">
      <c r="B82">
        <v>0.38855000000000001</v>
      </c>
      <c r="D82">
        <v>0.38218000000000002</v>
      </c>
      <c r="F82">
        <v>0.37925999999999999</v>
      </c>
      <c r="H82">
        <v>0.37324000000000002</v>
      </c>
      <c r="J82">
        <v>0.35793000000000003</v>
      </c>
      <c r="L82">
        <v>0.34279999999999999</v>
      </c>
      <c r="N82">
        <v>0.32713999999999999</v>
      </c>
      <c r="P82">
        <v>0.31201000000000001</v>
      </c>
      <c r="R82">
        <v>0.28088000000000002</v>
      </c>
      <c r="T82">
        <v>0.24940000000000001</v>
      </c>
    </row>
    <row r="83" spans="2:20" x14ac:dyDescent="0.3">
      <c r="B83">
        <v>0.38836999999999999</v>
      </c>
      <c r="D83">
        <v>0.38218000000000002</v>
      </c>
      <c r="F83">
        <v>0.37908999999999998</v>
      </c>
      <c r="H83">
        <v>0.37324000000000002</v>
      </c>
      <c r="J83">
        <v>0.35809999999999997</v>
      </c>
      <c r="L83">
        <v>0.34278999999999998</v>
      </c>
      <c r="N83">
        <v>0.32713999999999999</v>
      </c>
      <c r="P83">
        <v>0.31201000000000001</v>
      </c>
      <c r="R83">
        <v>0.28087000000000001</v>
      </c>
      <c r="T83">
        <v>0.24956999999999999</v>
      </c>
    </row>
    <row r="84" spans="2:20" x14ac:dyDescent="0.3">
      <c r="B84">
        <v>0.38855000000000001</v>
      </c>
      <c r="D84">
        <v>0.38218000000000002</v>
      </c>
      <c r="F84">
        <v>0.37891000000000002</v>
      </c>
      <c r="H84">
        <v>0.37324000000000002</v>
      </c>
      <c r="J84">
        <v>0.35809999999999997</v>
      </c>
      <c r="L84">
        <v>0.34297</v>
      </c>
      <c r="N84">
        <v>0.32713999999999999</v>
      </c>
      <c r="P84">
        <v>0.31184000000000001</v>
      </c>
      <c r="R84">
        <v>0.28105000000000002</v>
      </c>
      <c r="T84">
        <v>0.24956999999999999</v>
      </c>
    </row>
    <row r="85" spans="2:20" x14ac:dyDescent="0.3">
      <c r="B85">
        <v>0.38854</v>
      </c>
      <c r="D85">
        <v>0.38218000000000002</v>
      </c>
      <c r="F85">
        <v>0.37907999999999997</v>
      </c>
      <c r="H85">
        <v>0.37324000000000002</v>
      </c>
      <c r="J85">
        <v>0.35827999999999999</v>
      </c>
      <c r="L85">
        <v>0.34279999999999999</v>
      </c>
      <c r="N85">
        <v>0.32732</v>
      </c>
      <c r="P85">
        <v>0.31184000000000001</v>
      </c>
      <c r="R85">
        <v>0.28105000000000002</v>
      </c>
      <c r="T85">
        <v>0.24973999999999999</v>
      </c>
    </row>
    <row r="86" spans="2:20" x14ac:dyDescent="0.3">
      <c r="B86">
        <v>0.38872000000000001</v>
      </c>
      <c r="D86">
        <v>0.38218000000000002</v>
      </c>
      <c r="F86">
        <v>0.37925999999999999</v>
      </c>
      <c r="H86">
        <v>0.37324000000000002</v>
      </c>
      <c r="J86">
        <v>0.35809999999999997</v>
      </c>
      <c r="L86">
        <v>0.34279999999999999</v>
      </c>
      <c r="N86">
        <v>0.32730999999999999</v>
      </c>
      <c r="P86">
        <v>0.31165999999999999</v>
      </c>
      <c r="R86">
        <v>0.28122000000000003</v>
      </c>
      <c r="T86">
        <v>0.24973999999999999</v>
      </c>
    </row>
    <row r="87" spans="2:20" x14ac:dyDescent="0.3">
      <c r="B87">
        <v>0.38855000000000001</v>
      </c>
      <c r="D87">
        <v>0.38218000000000002</v>
      </c>
      <c r="F87">
        <v>0.37942999999999999</v>
      </c>
      <c r="H87">
        <v>0.37324000000000002</v>
      </c>
      <c r="J87">
        <v>0.35810999999999998</v>
      </c>
      <c r="L87">
        <v>0.34262999999999999</v>
      </c>
      <c r="N87">
        <v>0.32749</v>
      </c>
      <c r="P87">
        <v>0.31165999999999999</v>
      </c>
      <c r="R87">
        <v>0.28122000000000003</v>
      </c>
      <c r="T87">
        <v>0.24973999999999999</v>
      </c>
    </row>
    <row r="88" spans="2:20" x14ac:dyDescent="0.3">
      <c r="B88">
        <v>0.38855000000000001</v>
      </c>
      <c r="D88">
        <v>0.38218000000000002</v>
      </c>
      <c r="F88">
        <v>0.37944</v>
      </c>
      <c r="H88">
        <v>0.37324000000000002</v>
      </c>
      <c r="J88">
        <v>0.35793999999999998</v>
      </c>
      <c r="L88">
        <v>0.34244999999999998</v>
      </c>
      <c r="N88">
        <v>0.32749</v>
      </c>
      <c r="P88">
        <v>0.31165999999999999</v>
      </c>
      <c r="R88">
        <v>0.28122000000000003</v>
      </c>
      <c r="T88">
        <v>0.24973999999999999</v>
      </c>
    </row>
    <row r="89" spans="2:20" x14ac:dyDescent="0.3">
      <c r="B89">
        <v>0.38836999999999999</v>
      </c>
      <c r="D89">
        <v>0.38218000000000002</v>
      </c>
      <c r="F89">
        <v>0.37925999999999999</v>
      </c>
      <c r="H89">
        <v>0.37324000000000002</v>
      </c>
      <c r="J89">
        <v>0.35776000000000002</v>
      </c>
      <c r="L89">
        <v>0.34244999999999998</v>
      </c>
      <c r="N89">
        <v>0.32732</v>
      </c>
      <c r="P89">
        <v>0.31184000000000001</v>
      </c>
      <c r="R89">
        <v>0.28122000000000003</v>
      </c>
      <c r="T89">
        <v>0.24975</v>
      </c>
    </row>
    <row r="90" spans="2:20" x14ac:dyDescent="0.3">
      <c r="B90">
        <v>0.38855000000000001</v>
      </c>
      <c r="D90">
        <v>0.38218000000000002</v>
      </c>
      <c r="F90">
        <v>0.37908999999999998</v>
      </c>
      <c r="H90">
        <v>0.37324000000000002</v>
      </c>
      <c r="J90">
        <v>0.35776000000000002</v>
      </c>
      <c r="L90">
        <v>0.34244999999999998</v>
      </c>
      <c r="N90">
        <v>0.32732</v>
      </c>
      <c r="P90">
        <v>0.31184000000000001</v>
      </c>
      <c r="R90">
        <v>0.28122000000000003</v>
      </c>
      <c r="T90">
        <v>0.24956999999999999</v>
      </c>
    </row>
    <row r="91" spans="2:20" x14ac:dyDescent="0.3">
      <c r="B91">
        <v>0.38854</v>
      </c>
      <c r="D91">
        <v>0.38218000000000002</v>
      </c>
      <c r="F91">
        <v>0.37907999999999997</v>
      </c>
      <c r="H91">
        <v>0.37306</v>
      </c>
      <c r="J91">
        <v>0.35793000000000003</v>
      </c>
      <c r="L91">
        <v>0.34261999999999998</v>
      </c>
      <c r="N91">
        <v>0.32732</v>
      </c>
      <c r="P91">
        <v>0.31183</v>
      </c>
      <c r="R91">
        <v>0.28122000000000003</v>
      </c>
      <c r="T91">
        <v>0.24956999999999999</v>
      </c>
    </row>
    <row r="92" spans="2:20" x14ac:dyDescent="0.3">
      <c r="B92">
        <v>0.38872000000000001</v>
      </c>
      <c r="D92">
        <v>0.38218000000000002</v>
      </c>
      <c r="F92">
        <v>0.37925999999999999</v>
      </c>
      <c r="H92">
        <v>0.37324000000000002</v>
      </c>
      <c r="J92">
        <v>0.35809999999999997</v>
      </c>
      <c r="L92">
        <v>0.34261999999999998</v>
      </c>
      <c r="N92">
        <v>0.32713999999999999</v>
      </c>
      <c r="P92">
        <v>0.31201000000000001</v>
      </c>
      <c r="R92">
        <v>0.28105000000000002</v>
      </c>
      <c r="T92">
        <v>0.24956999999999999</v>
      </c>
    </row>
    <row r="93" spans="2:20" x14ac:dyDescent="0.3">
      <c r="B93">
        <v>0.38855000000000001</v>
      </c>
      <c r="D93">
        <v>0.38218000000000002</v>
      </c>
      <c r="F93">
        <v>0.37942999999999999</v>
      </c>
      <c r="H93">
        <v>0.37324000000000002</v>
      </c>
      <c r="J93">
        <v>0.35827999999999999</v>
      </c>
      <c r="L93">
        <v>0.34279999999999999</v>
      </c>
      <c r="N93">
        <v>0.32713999999999999</v>
      </c>
      <c r="P93">
        <v>0.31201000000000001</v>
      </c>
      <c r="R93">
        <v>0.28105000000000002</v>
      </c>
      <c r="T93">
        <v>0.24940000000000001</v>
      </c>
    </row>
    <row r="94" spans="2:20" x14ac:dyDescent="0.3">
      <c r="B94">
        <v>0.38836999999999999</v>
      </c>
      <c r="D94">
        <v>0.38218000000000002</v>
      </c>
      <c r="F94">
        <v>0.37942999999999999</v>
      </c>
      <c r="H94">
        <v>0.37324000000000002</v>
      </c>
      <c r="J94">
        <v>0.35827999999999999</v>
      </c>
      <c r="L94">
        <v>0.34279999999999999</v>
      </c>
      <c r="N94">
        <v>0.32732</v>
      </c>
      <c r="P94">
        <v>0.31201000000000001</v>
      </c>
      <c r="R94">
        <v>0.28105000000000002</v>
      </c>
      <c r="T94">
        <v>0.24940000000000001</v>
      </c>
    </row>
    <row r="95" spans="2:20" x14ac:dyDescent="0.3">
      <c r="B95">
        <v>0.38855000000000001</v>
      </c>
      <c r="D95">
        <v>0.38218000000000002</v>
      </c>
      <c r="F95">
        <v>0.37944</v>
      </c>
      <c r="H95">
        <v>0.37324000000000002</v>
      </c>
      <c r="J95">
        <v>0.35827999999999999</v>
      </c>
      <c r="L95">
        <v>0.34279999999999999</v>
      </c>
      <c r="N95">
        <v>0.32732</v>
      </c>
      <c r="P95">
        <v>0.31201000000000001</v>
      </c>
      <c r="R95">
        <v>0.28088000000000002</v>
      </c>
      <c r="T95">
        <v>0.24940000000000001</v>
      </c>
    </row>
    <row r="96" spans="2:20" x14ac:dyDescent="0.3">
      <c r="B96">
        <v>0.38854</v>
      </c>
      <c r="D96">
        <v>0.38235999999999998</v>
      </c>
      <c r="F96">
        <v>0.37925999999999999</v>
      </c>
      <c r="H96">
        <v>0.37324000000000002</v>
      </c>
      <c r="J96">
        <v>0.35810999999999998</v>
      </c>
      <c r="L96">
        <v>0.34279999999999999</v>
      </c>
      <c r="N96">
        <v>0.32730999999999999</v>
      </c>
      <c r="P96">
        <v>0.31201000000000001</v>
      </c>
      <c r="R96">
        <v>0.28087000000000001</v>
      </c>
      <c r="T96">
        <v>0.24940000000000001</v>
      </c>
    </row>
    <row r="97" spans="2:20" x14ac:dyDescent="0.3">
      <c r="B97">
        <v>0.38872000000000001</v>
      </c>
      <c r="D97">
        <v>0.38235999999999998</v>
      </c>
      <c r="F97">
        <v>0.37908999999999998</v>
      </c>
      <c r="H97">
        <v>0.37324000000000002</v>
      </c>
      <c r="J97">
        <v>0.35793000000000003</v>
      </c>
      <c r="L97">
        <v>0.34262999999999999</v>
      </c>
      <c r="N97">
        <v>0.32749</v>
      </c>
      <c r="P97">
        <v>0.31184000000000001</v>
      </c>
      <c r="R97">
        <v>0.28105000000000002</v>
      </c>
      <c r="T97">
        <v>0.24956999999999999</v>
      </c>
    </row>
    <row r="98" spans="2:20" x14ac:dyDescent="0.3">
      <c r="B98">
        <v>0.38855000000000001</v>
      </c>
      <c r="D98">
        <v>0.38218000000000002</v>
      </c>
      <c r="F98">
        <v>0.37907999999999997</v>
      </c>
      <c r="H98">
        <v>0.37306</v>
      </c>
      <c r="J98">
        <v>0.35793000000000003</v>
      </c>
      <c r="L98">
        <v>0.34244999999999998</v>
      </c>
      <c r="N98">
        <v>0.32749</v>
      </c>
      <c r="P98">
        <v>0.31184000000000001</v>
      </c>
      <c r="R98">
        <v>0.28105000000000002</v>
      </c>
      <c r="T98">
        <v>0.24956999999999999</v>
      </c>
    </row>
    <row r="99" spans="2:20" x14ac:dyDescent="0.3">
      <c r="B99">
        <v>0.38855000000000001</v>
      </c>
      <c r="D99">
        <v>0.38218000000000002</v>
      </c>
      <c r="F99">
        <v>0.37925999999999999</v>
      </c>
      <c r="H99">
        <v>0.37324000000000002</v>
      </c>
      <c r="J99">
        <v>0.35793000000000003</v>
      </c>
      <c r="L99">
        <v>0.34244999999999998</v>
      </c>
      <c r="N99">
        <v>0.32749</v>
      </c>
      <c r="P99">
        <v>0.31184000000000001</v>
      </c>
      <c r="R99">
        <v>0.28122000000000003</v>
      </c>
      <c r="T99">
        <v>0.24956999999999999</v>
      </c>
    </row>
    <row r="100" spans="2:20" x14ac:dyDescent="0.3">
      <c r="B100">
        <v>0.38855000000000001</v>
      </c>
      <c r="D100">
        <v>0.38218000000000002</v>
      </c>
      <c r="F100">
        <v>0.37942999999999999</v>
      </c>
      <c r="H100">
        <v>0.37324000000000002</v>
      </c>
      <c r="J100">
        <v>0.35809999999999997</v>
      </c>
      <c r="L100">
        <v>0.34261999999999998</v>
      </c>
      <c r="N100">
        <v>0.32749</v>
      </c>
      <c r="P100">
        <v>0.31184000000000001</v>
      </c>
      <c r="R100">
        <v>0.28122000000000003</v>
      </c>
      <c r="T100">
        <v>0.24973999999999999</v>
      </c>
    </row>
    <row r="101" spans="2:20" x14ac:dyDescent="0.3">
      <c r="B101">
        <v>0.38854</v>
      </c>
      <c r="D101">
        <v>0.38218000000000002</v>
      </c>
      <c r="F101">
        <v>0.37942999999999999</v>
      </c>
      <c r="H101">
        <v>0.37324000000000002</v>
      </c>
      <c r="J101">
        <v>0.35826999999999998</v>
      </c>
      <c r="L101">
        <v>0.34261999999999998</v>
      </c>
      <c r="N101">
        <v>0.32749</v>
      </c>
      <c r="P101">
        <v>0.31184000000000001</v>
      </c>
      <c r="R101">
        <v>0.28122000000000003</v>
      </c>
      <c r="T101">
        <v>0.24973999999999999</v>
      </c>
    </row>
    <row r="102" spans="2:20" x14ac:dyDescent="0.3">
      <c r="B102">
        <v>0.38872000000000001</v>
      </c>
      <c r="D102">
        <v>0.38235999999999998</v>
      </c>
      <c r="F102">
        <v>0.37944</v>
      </c>
      <c r="H102">
        <v>0.37324000000000002</v>
      </c>
      <c r="J102">
        <v>0.35844999999999999</v>
      </c>
      <c r="L102">
        <v>0.34278999999999998</v>
      </c>
      <c r="N102">
        <v>0.32732</v>
      </c>
      <c r="P102">
        <v>0.31183</v>
      </c>
      <c r="R102">
        <v>0.28122000000000003</v>
      </c>
      <c r="T102">
        <v>0.24973999999999999</v>
      </c>
    </row>
    <row r="103" spans="2:20" x14ac:dyDescent="0.3">
      <c r="B103">
        <v>0.38872000000000001</v>
      </c>
      <c r="D103">
        <v>0.38235999999999998</v>
      </c>
      <c r="F103">
        <v>0.37925999999999999</v>
      </c>
      <c r="H103">
        <v>0.37324000000000002</v>
      </c>
      <c r="J103">
        <v>0.35844999999999999</v>
      </c>
      <c r="L103">
        <v>0.34297</v>
      </c>
      <c r="N103">
        <v>0.32732</v>
      </c>
      <c r="P103">
        <v>0.31201000000000001</v>
      </c>
      <c r="R103">
        <v>0.28138999999999997</v>
      </c>
      <c r="T103">
        <v>0.24973999999999999</v>
      </c>
    </row>
    <row r="104" spans="2:20" x14ac:dyDescent="0.3">
      <c r="B104">
        <v>0.38855000000000001</v>
      </c>
      <c r="D104">
        <v>0.38235999999999998</v>
      </c>
      <c r="F104">
        <v>0.37907999999999997</v>
      </c>
      <c r="H104">
        <v>0.37324000000000002</v>
      </c>
      <c r="J104">
        <v>0.35827999999999999</v>
      </c>
      <c r="L104">
        <v>0.34297</v>
      </c>
      <c r="N104">
        <v>0.32732</v>
      </c>
      <c r="P104">
        <v>0.312</v>
      </c>
      <c r="R104">
        <v>0.28122000000000003</v>
      </c>
      <c r="T104">
        <v>0.24973999999999999</v>
      </c>
    </row>
    <row r="105" spans="2:20" x14ac:dyDescent="0.3">
      <c r="B105">
        <v>0.38838</v>
      </c>
      <c r="D105">
        <v>0.38235999999999998</v>
      </c>
      <c r="F105">
        <v>0.37925999999999999</v>
      </c>
      <c r="H105">
        <v>0.37324000000000002</v>
      </c>
      <c r="J105">
        <v>0.35810999999999998</v>
      </c>
      <c r="L105">
        <v>0.34297</v>
      </c>
      <c r="N105">
        <v>0.32732</v>
      </c>
      <c r="P105">
        <v>0.31218000000000001</v>
      </c>
      <c r="R105">
        <v>0.28122000000000003</v>
      </c>
      <c r="T105">
        <v>0.24975</v>
      </c>
    </row>
    <row r="106" spans="2:20" x14ac:dyDescent="0.3">
      <c r="B106">
        <v>0.38836999999999999</v>
      </c>
      <c r="D106">
        <v>0.38235999999999998</v>
      </c>
      <c r="F106">
        <v>0.37942999999999999</v>
      </c>
      <c r="H106">
        <v>0.37324000000000002</v>
      </c>
      <c r="J106">
        <v>0.35793999999999998</v>
      </c>
      <c r="L106">
        <v>0.34297</v>
      </c>
      <c r="N106">
        <v>0.32732</v>
      </c>
      <c r="P106">
        <v>0.31218000000000001</v>
      </c>
      <c r="R106">
        <v>0.28105000000000002</v>
      </c>
      <c r="T106">
        <v>0.24956999999999999</v>
      </c>
    </row>
    <row r="107" spans="2:20" x14ac:dyDescent="0.3">
      <c r="B107">
        <v>0.38854</v>
      </c>
      <c r="D107">
        <v>0.38235999999999998</v>
      </c>
      <c r="F107">
        <v>0.37942999999999999</v>
      </c>
      <c r="H107">
        <v>0.37324000000000002</v>
      </c>
      <c r="J107">
        <v>0.35776000000000002</v>
      </c>
      <c r="L107">
        <v>0.34279999999999999</v>
      </c>
      <c r="N107">
        <v>0.32730999999999999</v>
      </c>
      <c r="P107">
        <v>0.31218000000000001</v>
      </c>
      <c r="R107">
        <v>0.28105000000000002</v>
      </c>
      <c r="T107">
        <v>0.24956999999999999</v>
      </c>
    </row>
    <row r="108" spans="2:20" x14ac:dyDescent="0.3">
      <c r="B108">
        <v>0.38872000000000001</v>
      </c>
      <c r="D108">
        <v>0.38235999999999998</v>
      </c>
      <c r="F108">
        <v>0.37944</v>
      </c>
      <c r="H108">
        <v>0.37324000000000002</v>
      </c>
      <c r="J108">
        <v>0.35793000000000003</v>
      </c>
      <c r="L108">
        <v>0.34261999999999998</v>
      </c>
      <c r="N108">
        <v>0.32749</v>
      </c>
      <c r="P108">
        <v>0.31201000000000001</v>
      </c>
      <c r="R108">
        <v>0.28105000000000002</v>
      </c>
      <c r="T108">
        <v>0.24956999999999999</v>
      </c>
    </row>
    <row r="109" spans="2:20" x14ac:dyDescent="0.3">
      <c r="B109">
        <v>0.38855000000000001</v>
      </c>
      <c r="D109">
        <v>0.38235999999999998</v>
      </c>
      <c r="F109">
        <v>0.37925999999999999</v>
      </c>
      <c r="H109">
        <v>0.37341000000000002</v>
      </c>
      <c r="J109">
        <v>0.35793000000000003</v>
      </c>
      <c r="L109">
        <v>0.34261999999999998</v>
      </c>
      <c r="N109">
        <v>0.32749</v>
      </c>
      <c r="P109">
        <v>0.31201000000000001</v>
      </c>
      <c r="R109">
        <v>0.28088000000000002</v>
      </c>
      <c r="T109">
        <v>0.24940000000000001</v>
      </c>
    </row>
    <row r="110" spans="2:20" x14ac:dyDescent="0.3">
      <c r="B110">
        <v>0.38855000000000001</v>
      </c>
      <c r="D110">
        <v>0.38235999999999998</v>
      </c>
      <c r="F110">
        <v>0.37908999999999998</v>
      </c>
      <c r="H110">
        <v>0.37341000000000002</v>
      </c>
      <c r="J110">
        <v>0.35809999999999997</v>
      </c>
      <c r="L110">
        <v>0.34261999999999998</v>
      </c>
      <c r="N110">
        <v>0.32749</v>
      </c>
      <c r="P110">
        <v>0.31201000000000001</v>
      </c>
      <c r="R110">
        <v>0.28087000000000001</v>
      </c>
      <c r="T110">
        <v>0.24940000000000001</v>
      </c>
    </row>
    <row r="111" spans="2:20" x14ac:dyDescent="0.3">
      <c r="B111">
        <v>0.38836999999999999</v>
      </c>
      <c r="D111">
        <v>0.38235999999999998</v>
      </c>
      <c r="F111">
        <v>0.37907999999999997</v>
      </c>
      <c r="H111">
        <v>0.37341999999999997</v>
      </c>
      <c r="J111">
        <v>0.35827999999999999</v>
      </c>
      <c r="L111">
        <v>0.34279999999999999</v>
      </c>
      <c r="N111">
        <v>0.32749</v>
      </c>
      <c r="P111">
        <v>0.31184000000000001</v>
      </c>
      <c r="R111">
        <v>0.28105000000000002</v>
      </c>
      <c r="T111">
        <v>0.24940000000000001</v>
      </c>
    </row>
    <row r="112" spans="2:20" x14ac:dyDescent="0.3">
      <c r="B112">
        <v>0.38855000000000001</v>
      </c>
      <c r="D112">
        <v>0.38235999999999998</v>
      </c>
      <c r="F112">
        <v>0.37925999999999999</v>
      </c>
      <c r="H112">
        <v>0.37324000000000002</v>
      </c>
      <c r="J112">
        <v>0.35827999999999999</v>
      </c>
      <c r="L112">
        <v>0.34278999999999998</v>
      </c>
      <c r="N112">
        <v>0.32749</v>
      </c>
      <c r="P112">
        <v>0.31184000000000001</v>
      </c>
      <c r="R112">
        <v>0.28105000000000002</v>
      </c>
      <c r="T112">
        <v>0.24940000000000001</v>
      </c>
    </row>
    <row r="113" spans="2:20" x14ac:dyDescent="0.3">
      <c r="B113">
        <v>0.38855000000000001</v>
      </c>
      <c r="D113">
        <v>0.38235999999999998</v>
      </c>
      <c r="F113">
        <v>0.37942999999999999</v>
      </c>
      <c r="H113">
        <v>0.37324000000000002</v>
      </c>
      <c r="J113">
        <v>0.35827999999999999</v>
      </c>
      <c r="L113">
        <v>0.34297</v>
      </c>
      <c r="N113">
        <v>0.32749</v>
      </c>
      <c r="P113">
        <v>0.31183</v>
      </c>
      <c r="R113">
        <v>0.28122000000000003</v>
      </c>
      <c r="T113">
        <v>0.24940000000000001</v>
      </c>
    </row>
    <row r="114" spans="2:20" x14ac:dyDescent="0.3">
      <c r="B114">
        <v>0.38855000000000001</v>
      </c>
      <c r="D114">
        <v>0.38235999999999998</v>
      </c>
      <c r="F114">
        <v>0.37942999999999999</v>
      </c>
      <c r="H114">
        <v>0.37341000000000002</v>
      </c>
      <c r="J114">
        <v>0.35810999999999998</v>
      </c>
      <c r="L114">
        <v>0.34297</v>
      </c>
      <c r="N114">
        <v>0.32732</v>
      </c>
      <c r="P114">
        <v>0.31201000000000001</v>
      </c>
      <c r="R114">
        <v>0.28122000000000003</v>
      </c>
      <c r="T114">
        <v>0.24956999999999999</v>
      </c>
    </row>
    <row r="115" spans="2:20" x14ac:dyDescent="0.3">
      <c r="B115">
        <v>0.38855000000000001</v>
      </c>
      <c r="D115">
        <v>0.38235999999999998</v>
      </c>
      <c r="F115">
        <v>0.37944</v>
      </c>
      <c r="H115">
        <v>0.37341000000000002</v>
      </c>
      <c r="J115">
        <v>0.35793000000000003</v>
      </c>
      <c r="L115">
        <v>0.34297</v>
      </c>
      <c r="N115">
        <v>0.32732</v>
      </c>
      <c r="P115">
        <v>0.312</v>
      </c>
      <c r="R115">
        <v>0.28138999999999997</v>
      </c>
      <c r="T115">
        <v>0.24956999999999999</v>
      </c>
    </row>
    <row r="116" spans="2:20" x14ac:dyDescent="0.3">
      <c r="B116">
        <v>0.38838</v>
      </c>
      <c r="D116">
        <v>0.38235999999999998</v>
      </c>
      <c r="F116">
        <v>0.37925999999999999</v>
      </c>
      <c r="H116">
        <v>0.37341000000000002</v>
      </c>
      <c r="J116">
        <v>0.35793000000000003</v>
      </c>
      <c r="L116">
        <v>0.34297</v>
      </c>
      <c r="N116">
        <v>0.32732</v>
      </c>
      <c r="P116">
        <v>0.31218000000000001</v>
      </c>
      <c r="R116">
        <v>0.28138999999999997</v>
      </c>
      <c r="T116">
        <v>0.24956999999999999</v>
      </c>
    </row>
    <row r="117" spans="2:20" x14ac:dyDescent="0.3">
      <c r="B117">
        <v>0.38836999999999999</v>
      </c>
      <c r="D117">
        <v>0.38235999999999998</v>
      </c>
      <c r="F117">
        <v>0.37907999999999997</v>
      </c>
      <c r="H117">
        <v>0.37341000000000002</v>
      </c>
      <c r="J117">
        <v>0.35793000000000003</v>
      </c>
      <c r="L117">
        <v>0.34279999999999999</v>
      </c>
      <c r="N117">
        <v>0.32730999999999999</v>
      </c>
      <c r="P117">
        <v>0.31218000000000001</v>
      </c>
      <c r="R117">
        <v>0.28138999999999997</v>
      </c>
      <c r="T117">
        <v>0.24973999999999999</v>
      </c>
    </row>
    <row r="118" spans="2:20" x14ac:dyDescent="0.3">
      <c r="B118">
        <v>0.38854</v>
      </c>
      <c r="D118">
        <v>0.38235999999999998</v>
      </c>
      <c r="F118">
        <v>0.37925999999999999</v>
      </c>
      <c r="H118">
        <v>0.37341000000000002</v>
      </c>
      <c r="J118">
        <v>0.35809999999999997</v>
      </c>
      <c r="L118">
        <v>0.34279999999999999</v>
      </c>
      <c r="N118">
        <v>0.32749</v>
      </c>
      <c r="P118">
        <v>0.31218000000000001</v>
      </c>
      <c r="R118">
        <v>0.28138999999999997</v>
      </c>
      <c r="T118">
        <v>0.24973999999999999</v>
      </c>
    </row>
    <row r="119" spans="2:20" x14ac:dyDescent="0.3">
      <c r="B119">
        <v>0.38872000000000001</v>
      </c>
      <c r="D119">
        <v>0.38235999999999998</v>
      </c>
      <c r="F119">
        <v>0.37925999999999999</v>
      </c>
      <c r="H119">
        <v>0.37341999999999997</v>
      </c>
      <c r="J119">
        <v>0.35826999999999998</v>
      </c>
      <c r="L119">
        <v>0.34261999999999998</v>
      </c>
      <c r="N119">
        <v>0.32749</v>
      </c>
      <c r="P119">
        <v>0.31218000000000001</v>
      </c>
      <c r="R119">
        <v>0.28138999999999997</v>
      </c>
      <c r="T119">
        <v>0.24973999999999999</v>
      </c>
    </row>
    <row r="120" spans="2:20" x14ac:dyDescent="0.3">
      <c r="B120">
        <v>0.38872000000000001</v>
      </c>
      <c r="D120">
        <v>0.38235999999999998</v>
      </c>
      <c r="F120">
        <v>0.37942999999999999</v>
      </c>
      <c r="H120">
        <v>0.37324000000000002</v>
      </c>
      <c r="J120">
        <v>0.35844999999999999</v>
      </c>
      <c r="L120">
        <v>0.34261999999999998</v>
      </c>
      <c r="N120">
        <v>0.32747999999999999</v>
      </c>
      <c r="P120">
        <v>0.31218000000000001</v>
      </c>
      <c r="R120">
        <v>0.28122000000000003</v>
      </c>
      <c r="T120">
        <v>0.24973999999999999</v>
      </c>
    </row>
    <row r="121" spans="2:20" x14ac:dyDescent="0.3">
      <c r="B121">
        <v>0.38855000000000001</v>
      </c>
      <c r="D121">
        <v>0.38235999999999998</v>
      </c>
      <c r="F121">
        <v>0.37961</v>
      </c>
      <c r="H121">
        <v>0.37341000000000002</v>
      </c>
      <c r="J121">
        <v>0.35844999999999999</v>
      </c>
      <c r="L121">
        <v>0.34279999999999999</v>
      </c>
      <c r="N121">
        <v>0.32766000000000001</v>
      </c>
      <c r="P121">
        <v>0.31201000000000001</v>
      </c>
      <c r="R121">
        <v>0.28122000000000003</v>
      </c>
      <c r="T121">
        <v>0.24975</v>
      </c>
    </row>
    <row r="122" spans="2:20" x14ac:dyDescent="0.3">
      <c r="B122">
        <v>0.38855000000000001</v>
      </c>
      <c r="D122">
        <v>0.38235999999999998</v>
      </c>
      <c r="F122">
        <v>0.37944</v>
      </c>
      <c r="H122">
        <v>0.37341000000000002</v>
      </c>
      <c r="J122">
        <v>0.35827999999999999</v>
      </c>
      <c r="L122">
        <v>0.34278999999999998</v>
      </c>
      <c r="N122">
        <v>0.32766000000000001</v>
      </c>
      <c r="P122">
        <v>0.31201000000000001</v>
      </c>
      <c r="R122">
        <v>0.28105000000000002</v>
      </c>
      <c r="T122">
        <v>0.24956999999999999</v>
      </c>
    </row>
    <row r="123" spans="2:20" x14ac:dyDescent="0.3">
      <c r="B123">
        <v>0.38854</v>
      </c>
      <c r="D123">
        <v>0.38235999999999998</v>
      </c>
      <c r="F123">
        <v>0.37925999999999999</v>
      </c>
      <c r="H123">
        <v>0.37341000000000002</v>
      </c>
      <c r="J123">
        <v>0.35810999999999998</v>
      </c>
      <c r="L123">
        <v>0.34295999999999999</v>
      </c>
      <c r="N123">
        <v>0.32749</v>
      </c>
      <c r="P123">
        <v>0.31201000000000001</v>
      </c>
      <c r="R123">
        <v>0.28105000000000002</v>
      </c>
      <c r="T123">
        <v>0.24956999999999999</v>
      </c>
    </row>
    <row r="124" spans="2:20" x14ac:dyDescent="0.3">
      <c r="B124">
        <v>0.38872000000000001</v>
      </c>
      <c r="D124">
        <v>0.38235999999999998</v>
      </c>
      <c r="F124">
        <v>0.37907999999999997</v>
      </c>
      <c r="H124">
        <v>0.37341000000000002</v>
      </c>
      <c r="J124">
        <v>0.35793000000000003</v>
      </c>
      <c r="L124">
        <v>0.34314</v>
      </c>
      <c r="N124">
        <v>0.32749</v>
      </c>
      <c r="P124">
        <v>0.31184000000000001</v>
      </c>
      <c r="R124">
        <v>0.28105000000000002</v>
      </c>
      <c r="T124">
        <v>0.24956999999999999</v>
      </c>
    </row>
    <row r="125" spans="2:20" x14ac:dyDescent="0.3">
      <c r="B125">
        <v>0.38872000000000001</v>
      </c>
      <c r="D125">
        <v>0.38235999999999998</v>
      </c>
      <c r="F125">
        <v>0.37925999999999999</v>
      </c>
      <c r="H125">
        <v>0.37341999999999997</v>
      </c>
      <c r="J125">
        <v>0.35793000000000003</v>
      </c>
      <c r="L125">
        <v>0.34314</v>
      </c>
      <c r="N125">
        <v>0.32732</v>
      </c>
      <c r="P125">
        <v>0.31183</v>
      </c>
      <c r="R125">
        <v>0.28105000000000002</v>
      </c>
      <c r="T125">
        <v>0.24940000000000001</v>
      </c>
    </row>
    <row r="126" spans="2:20" x14ac:dyDescent="0.3">
      <c r="B126">
        <v>0.38855000000000001</v>
      </c>
      <c r="D126">
        <v>0.38235999999999998</v>
      </c>
      <c r="F126">
        <v>0.37942999999999999</v>
      </c>
      <c r="H126">
        <v>0.37324000000000002</v>
      </c>
      <c r="J126">
        <v>0.35793000000000003</v>
      </c>
      <c r="L126">
        <v>0.34297</v>
      </c>
      <c r="N126">
        <v>0.32732</v>
      </c>
      <c r="P126">
        <v>0.31201000000000001</v>
      </c>
      <c r="R126">
        <v>0.28105000000000002</v>
      </c>
      <c r="T126">
        <v>0.24940000000000001</v>
      </c>
    </row>
    <row r="127" spans="2:20" x14ac:dyDescent="0.3">
      <c r="B127">
        <v>0.38855000000000001</v>
      </c>
      <c r="D127">
        <v>0.38235999999999998</v>
      </c>
      <c r="F127">
        <v>0.37959999999999999</v>
      </c>
      <c r="H127">
        <v>0.37324000000000002</v>
      </c>
      <c r="J127">
        <v>0.35809999999999997</v>
      </c>
      <c r="L127">
        <v>0.34297</v>
      </c>
      <c r="N127">
        <v>0.32732</v>
      </c>
      <c r="P127">
        <v>0.312</v>
      </c>
      <c r="R127">
        <v>0.28122000000000003</v>
      </c>
      <c r="T127">
        <v>0.24940000000000001</v>
      </c>
    </row>
    <row r="128" spans="2:20" x14ac:dyDescent="0.3">
      <c r="B128">
        <v>0.38855000000000001</v>
      </c>
      <c r="D128">
        <v>0.38235999999999998</v>
      </c>
      <c r="F128">
        <v>0.37961</v>
      </c>
      <c r="H128">
        <v>0.37324000000000002</v>
      </c>
      <c r="J128">
        <v>0.35827999999999999</v>
      </c>
      <c r="L128">
        <v>0.34279999999999999</v>
      </c>
      <c r="N128">
        <v>0.32730999999999999</v>
      </c>
      <c r="P128">
        <v>0.31218000000000001</v>
      </c>
      <c r="R128">
        <v>0.28122000000000003</v>
      </c>
      <c r="T128">
        <v>0.24940000000000001</v>
      </c>
    </row>
    <row r="129" spans="2:20" x14ac:dyDescent="0.3">
      <c r="B129">
        <v>0.38854</v>
      </c>
      <c r="D129">
        <v>0.38235999999999998</v>
      </c>
      <c r="F129">
        <v>0.37944</v>
      </c>
      <c r="H129">
        <v>0.37324000000000002</v>
      </c>
      <c r="J129">
        <v>0.35827999999999999</v>
      </c>
      <c r="L129">
        <v>0.34279999999999999</v>
      </c>
      <c r="N129">
        <v>0.32749</v>
      </c>
      <c r="P129">
        <v>0.31218000000000001</v>
      </c>
      <c r="R129">
        <v>0.28138999999999997</v>
      </c>
      <c r="T129">
        <v>0.24956999999999999</v>
      </c>
    </row>
    <row r="130" spans="2:20" x14ac:dyDescent="0.3">
      <c r="B130">
        <v>0.38872000000000001</v>
      </c>
      <c r="D130">
        <v>0.38235999999999998</v>
      </c>
      <c r="F130">
        <v>0.37925999999999999</v>
      </c>
      <c r="H130">
        <v>0.37341000000000002</v>
      </c>
      <c r="J130">
        <v>0.35827999999999999</v>
      </c>
      <c r="L130">
        <v>0.34279999999999999</v>
      </c>
      <c r="N130">
        <v>0.32749</v>
      </c>
      <c r="P130">
        <v>0.31218000000000001</v>
      </c>
      <c r="R130">
        <v>0.28138999999999997</v>
      </c>
      <c r="T130">
        <v>0.24956999999999999</v>
      </c>
    </row>
    <row r="131" spans="2:20" x14ac:dyDescent="0.3">
      <c r="B131">
        <v>0.38855000000000001</v>
      </c>
      <c r="D131">
        <v>0.38235999999999998</v>
      </c>
      <c r="F131">
        <v>0.37925999999999999</v>
      </c>
      <c r="H131">
        <v>0.37341000000000002</v>
      </c>
      <c r="J131">
        <v>0.35827999999999999</v>
      </c>
      <c r="L131">
        <v>0.34278999999999998</v>
      </c>
      <c r="N131">
        <v>0.32747999999999999</v>
      </c>
      <c r="P131">
        <v>0.31218000000000001</v>
      </c>
      <c r="R131">
        <v>0.28138999999999997</v>
      </c>
      <c r="T131">
        <v>0.24956999999999999</v>
      </c>
    </row>
    <row r="132" spans="2:20" x14ac:dyDescent="0.3">
      <c r="B132">
        <v>0.38855000000000001</v>
      </c>
      <c r="D132">
        <v>0.38235999999999998</v>
      </c>
      <c r="F132">
        <v>0.37925999999999999</v>
      </c>
      <c r="H132">
        <v>0.37341000000000002</v>
      </c>
      <c r="J132">
        <v>0.35810999999999998</v>
      </c>
      <c r="L132">
        <v>0.34297</v>
      </c>
      <c r="N132">
        <v>0.32766000000000001</v>
      </c>
      <c r="P132">
        <v>0.31218000000000001</v>
      </c>
      <c r="R132">
        <v>0.28138999999999997</v>
      </c>
      <c r="T132">
        <v>0.24973999999999999</v>
      </c>
    </row>
    <row r="133" spans="2:20" x14ac:dyDescent="0.3">
      <c r="B133">
        <v>0.38836999999999999</v>
      </c>
      <c r="D133">
        <v>0.38235999999999998</v>
      </c>
      <c r="F133">
        <v>0.37942999999999999</v>
      </c>
      <c r="H133">
        <v>0.37341999999999997</v>
      </c>
      <c r="J133">
        <v>0.35793000000000003</v>
      </c>
      <c r="L133">
        <v>0.34295999999999999</v>
      </c>
      <c r="N133">
        <v>0.32766000000000001</v>
      </c>
      <c r="P133">
        <v>0.31218000000000001</v>
      </c>
      <c r="R133">
        <v>0.28138999999999997</v>
      </c>
      <c r="T133">
        <v>0.24973999999999999</v>
      </c>
    </row>
    <row r="134" spans="2:20" x14ac:dyDescent="0.3">
      <c r="B134">
        <v>0.38855000000000001</v>
      </c>
      <c r="D134">
        <v>0.38235999999999998</v>
      </c>
      <c r="F134">
        <v>0.37961</v>
      </c>
      <c r="H134">
        <v>0.37324000000000002</v>
      </c>
      <c r="J134">
        <v>0.35793000000000003</v>
      </c>
      <c r="L134">
        <v>0.34314</v>
      </c>
      <c r="N134">
        <v>0.32749</v>
      </c>
      <c r="P134">
        <v>0.31201000000000001</v>
      </c>
      <c r="R134">
        <v>0.28122000000000003</v>
      </c>
      <c r="T134">
        <v>0.24973999999999999</v>
      </c>
    </row>
    <row r="135" spans="2:20" x14ac:dyDescent="0.3">
      <c r="B135">
        <v>0.38854</v>
      </c>
      <c r="D135">
        <v>0.38235999999999998</v>
      </c>
      <c r="F135">
        <v>0.37942999999999999</v>
      </c>
      <c r="H135">
        <v>0.37324000000000002</v>
      </c>
      <c r="J135">
        <v>0.35793000000000003</v>
      </c>
      <c r="L135">
        <v>0.34314</v>
      </c>
      <c r="N135">
        <v>0.32749</v>
      </c>
      <c r="P135">
        <v>0.31201000000000001</v>
      </c>
      <c r="R135">
        <v>0.28122000000000003</v>
      </c>
      <c r="T135">
        <v>0.24973999999999999</v>
      </c>
    </row>
    <row r="136" spans="2:20" x14ac:dyDescent="0.3">
      <c r="B136">
        <v>0.38872000000000001</v>
      </c>
      <c r="D136">
        <v>0.38235999999999998</v>
      </c>
      <c r="F136">
        <v>0.37944</v>
      </c>
      <c r="H136">
        <v>0.37324000000000002</v>
      </c>
      <c r="J136">
        <v>0.35809999999999997</v>
      </c>
      <c r="L136">
        <v>0.34314</v>
      </c>
      <c r="N136">
        <v>0.32749</v>
      </c>
      <c r="P136">
        <v>0.31184000000000001</v>
      </c>
      <c r="R136">
        <v>0.28105000000000002</v>
      </c>
      <c r="T136">
        <v>0.24973999999999999</v>
      </c>
    </row>
    <row r="137" spans="2:20" x14ac:dyDescent="0.3">
      <c r="B137">
        <v>0.38855000000000001</v>
      </c>
      <c r="D137">
        <v>0.38235999999999998</v>
      </c>
      <c r="F137">
        <v>0.37925999999999999</v>
      </c>
      <c r="H137">
        <v>0.37341000000000002</v>
      </c>
      <c r="J137">
        <v>0.35826999999999998</v>
      </c>
      <c r="L137">
        <v>0.34297</v>
      </c>
      <c r="N137">
        <v>0.32732</v>
      </c>
      <c r="P137">
        <v>0.31183</v>
      </c>
      <c r="R137">
        <v>0.28105000000000002</v>
      </c>
      <c r="T137">
        <v>0.24973999999999999</v>
      </c>
    </row>
    <row r="138" spans="2:20" x14ac:dyDescent="0.3">
      <c r="B138">
        <v>0.38838</v>
      </c>
      <c r="D138">
        <v>0.38235999999999998</v>
      </c>
      <c r="F138">
        <v>0.37925999999999999</v>
      </c>
      <c r="H138">
        <v>0.37341000000000002</v>
      </c>
      <c r="J138">
        <v>0.35844999999999999</v>
      </c>
      <c r="L138">
        <v>0.34279999999999999</v>
      </c>
      <c r="N138">
        <v>0.32732</v>
      </c>
      <c r="P138">
        <v>0.31201000000000001</v>
      </c>
      <c r="R138">
        <v>0.28105000000000002</v>
      </c>
      <c r="T138">
        <v>0.24975</v>
      </c>
    </row>
    <row r="139" spans="2:20" x14ac:dyDescent="0.3">
      <c r="B139">
        <v>0.38836999999999999</v>
      </c>
      <c r="D139">
        <v>0.38235999999999998</v>
      </c>
      <c r="F139">
        <v>0.37942999999999999</v>
      </c>
      <c r="H139">
        <v>0.37341000000000002</v>
      </c>
      <c r="J139">
        <v>0.35844999999999999</v>
      </c>
      <c r="L139">
        <v>0.34279999999999999</v>
      </c>
      <c r="N139">
        <v>0.32730999999999999</v>
      </c>
      <c r="P139">
        <v>0.31201000000000001</v>
      </c>
      <c r="R139">
        <v>0.28105000000000002</v>
      </c>
      <c r="T139">
        <v>0.24956999999999999</v>
      </c>
    </row>
    <row r="140" spans="2:20" x14ac:dyDescent="0.3">
      <c r="B140">
        <v>0.38854</v>
      </c>
      <c r="D140">
        <v>0.38235999999999998</v>
      </c>
      <c r="F140">
        <v>0.37959999999999999</v>
      </c>
      <c r="H140">
        <v>0.37341000000000002</v>
      </c>
      <c r="J140">
        <v>0.35827999999999999</v>
      </c>
      <c r="L140">
        <v>0.34279999999999999</v>
      </c>
      <c r="N140">
        <v>0.32749</v>
      </c>
      <c r="P140">
        <v>0.312</v>
      </c>
      <c r="R140">
        <v>0.28105000000000002</v>
      </c>
      <c r="T140">
        <v>0.24956999999999999</v>
      </c>
    </row>
    <row r="141" spans="2:20" x14ac:dyDescent="0.3">
      <c r="B141">
        <v>0.38872000000000001</v>
      </c>
      <c r="D141">
        <v>0.38235999999999998</v>
      </c>
      <c r="F141">
        <v>0.37959999999999999</v>
      </c>
      <c r="H141">
        <v>0.37341000000000002</v>
      </c>
      <c r="J141">
        <v>0.35810999999999998</v>
      </c>
      <c r="L141">
        <v>0.34278999999999998</v>
      </c>
      <c r="N141">
        <v>0.32749</v>
      </c>
      <c r="P141">
        <v>0.31218000000000001</v>
      </c>
      <c r="R141">
        <v>0.28122000000000003</v>
      </c>
      <c r="T141">
        <v>0.24956999999999999</v>
      </c>
    </row>
    <row r="142" spans="2:20" x14ac:dyDescent="0.3">
      <c r="B142">
        <v>0.38855000000000001</v>
      </c>
      <c r="D142">
        <v>0.38235999999999998</v>
      </c>
      <c r="F142">
        <v>0.37961</v>
      </c>
      <c r="H142">
        <v>0.37341000000000002</v>
      </c>
      <c r="J142">
        <v>0.35793000000000003</v>
      </c>
      <c r="L142">
        <v>0.34295999999999999</v>
      </c>
      <c r="N142">
        <v>0.32749</v>
      </c>
      <c r="P142">
        <v>0.31218000000000001</v>
      </c>
      <c r="R142">
        <v>0.28122000000000003</v>
      </c>
      <c r="T142">
        <v>0.24956999999999999</v>
      </c>
    </row>
    <row r="143" spans="2:20" x14ac:dyDescent="0.3">
      <c r="B143">
        <v>0.38855000000000001</v>
      </c>
      <c r="D143">
        <v>0.38235999999999998</v>
      </c>
      <c r="F143">
        <v>0.37944</v>
      </c>
      <c r="H143">
        <v>0.37341000000000002</v>
      </c>
      <c r="J143">
        <v>0.35793000000000003</v>
      </c>
      <c r="L143">
        <v>0.34314</v>
      </c>
      <c r="N143">
        <v>0.32747999999999999</v>
      </c>
      <c r="P143">
        <v>0.31218000000000001</v>
      </c>
      <c r="R143">
        <v>0.28138999999999997</v>
      </c>
      <c r="T143">
        <v>0.24956999999999999</v>
      </c>
    </row>
    <row r="144" spans="2:20" x14ac:dyDescent="0.3">
      <c r="B144">
        <v>0.38836999999999999</v>
      </c>
      <c r="D144">
        <v>0.38235999999999998</v>
      </c>
      <c r="F144">
        <v>0.37925999999999999</v>
      </c>
      <c r="H144">
        <v>0.37341000000000002</v>
      </c>
      <c r="J144">
        <v>0.35793000000000003</v>
      </c>
      <c r="L144">
        <v>0.34314</v>
      </c>
      <c r="N144">
        <v>0.32766000000000001</v>
      </c>
      <c r="P144">
        <v>0.31218000000000001</v>
      </c>
      <c r="R144">
        <v>0.28138999999999997</v>
      </c>
      <c r="T144">
        <v>0.24956999999999999</v>
      </c>
    </row>
    <row r="145" spans="2:20" x14ac:dyDescent="0.3">
      <c r="B145">
        <v>0.38855000000000001</v>
      </c>
      <c r="D145">
        <v>0.38235999999999998</v>
      </c>
      <c r="F145">
        <v>0.37925999999999999</v>
      </c>
      <c r="H145">
        <v>0.37341000000000002</v>
      </c>
      <c r="J145">
        <v>0.35809999999999997</v>
      </c>
      <c r="L145">
        <v>0.34314</v>
      </c>
      <c r="N145">
        <v>0.32749</v>
      </c>
      <c r="P145">
        <v>0.31218000000000001</v>
      </c>
      <c r="R145">
        <v>0.28138999999999997</v>
      </c>
      <c r="T145">
        <v>0.24956999999999999</v>
      </c>
    </row>
    <row r="146" spans="2:20" x14ac:dyDescent="0.3">
      <c r="B146">
        <v>0.38855000000000001</v>
      </c>
      <c r="D146">
        <v>0.38235000000000002</v>
      </c>
      <c r="F146">
        <v>0.37942999999999999</v>
      </c>
      <c r="H146">
        <v>0.37341000000000002</v>
      </c>
      <c r="J146">
        <v>0.35826999999999998</v>
      </c>
      <c r="L146">
        <v>0.34314</v>
      </c>
      <c r="N146">
        <v>0.32749</v>
      </c>
      <c r="P146">
        <v>0.31201000000000001</v>
      </c>
      <c r="R146">
        <v>0.28138999999999997</v>
      </c>
      <c r="T146">
        <v>0.24973999999999999</v>
      </c>
    </row>
    <row r="147" spans="2:20" x14ac:dyDescent="0.3">
      <c r="B147">
        <v>0.38855000000000001</v>
      </c>
      <c r="D147">
        <v>0.38252999999999998</v>
      </c>
      <c r="F147">
        <v>0.37959999999999999</v>
      </c>
      <c r="H147">
        <v>0.37341000000000002</v>
      </c>
      <c r="J147">
        <v>0.35844999999999999</v>
      </c>
      <c r="L147">
        <v>0.34314</v>
      </c>
      <c r="N147">
        <v>0.32749</v>
      </c>
      <c r="P147">
        <v>0.31201000000000001</v>
      </c>
      <c r="R147">
        <v>0.28138999999999997</v>
      </c>
      <c r="T147">
        <v>0.24973999999999999</v>
      </c>
    </row>
    <row r="148" spans="2:20" x14ac:dyDescent="0.3">
      <c r="B148">
        <v>0.38855000000000001</v>
      </c>
      <c r="D148">
        <v>0.38235999999999998</v>
      </c>
      <c r="F148">
        <v>0.37961</v>
      </c>
      <c r="H148">
        <v>0.37341000000000002</v>
      </c>
      <c r="J148">
        <v>0.35844999999999999</v>
      </c>
      <c r="L148">
        <v>0.34297</v>
      </c>
      <c r="N148">
        <v>0.32732</v>
      </c>
      <c r="P148">
        <v>0.31184000000000001</v>
      </c>
      <c r="R148">
        <v>0.28122000000000003</v>
      </c>
      <c r="T148">
        <v>0.24973999999999999</v>
      </c>
    </row>
    <row r="149" spans="2:20" x14ac:dyDescent="0.3">
      <c r="B149">
        <v>0.38838</v>
      </c>
      <c r="D149">
        <v>0.38235999999999998</v>
      </c>
      <c r="F149">
        <v>0.37944</v>
      </c>
      <c r="H149">
        <v>0.37341000000000002</v>
      </c>
      <c r="J149">
        <v>0.35827999999999999</v>
      </c>
      <c r="L149">
        <v>0.34297</v>
      </c>
      <c r="N149">
        <v>0.32732</v>
      </c>
      <c r="P149">
        <v>0.31184000000000001</v>
      </c>
      <c r="R149">
        <v>0.28122000000000003</v>
      </c>
      <c r="T149">
        <v>0.24992</v>
      </c>
    </row>
    <row r="150" spans="2:20" x14ac:dyDescent="0.3">
      <c r="B150">
        <v>0.38838</v>
      </c>
      <c r="D150">
        <v>0.38235999999999998</v>
      </c>
      <c r="F150">
        <v>0.37925999999999999</v>
      </c>
      <c r="H150">
        <v>0.37341000000000002</v>
      </c>
      <c r="J150">
        <v>0.35810999999999998</v>
      </c>
      <c r="L150">
        <v>0.34278999999999998</v>
      </c>
      <c r="N150">
        <v>0.32732</v>
      </c>
      <c r="P150">
        <v>0.31183</v>
      </c>
      <c r="R150">
        <v>0.28122000000000003</v>
      </c>
      <c r="T150">
        <v>0.24992</v>
      </c>
    </row>
    <row r="151" spans="2:20" x14ac:dyDescent="0.3">
      <c r="B151">
        <v>0.38836999999999999</v>
      </c>
      <c r="D151">
        <v>0.38235999999999998</v>
      </c>
      <c r="F151">
        <v>0.37925999999999999</v>
      </c>
      <c r="H151">
        <v>0.37341000000000002</v>
      </c>
      <c r="J151">
        <v>0.35793000000000003</v>
      </c>
      <c r="L151">
        <v>0.34297</v>
      </c>
      <c r="N151">
        <v>0.32730999999999999</v>
      </c>
      <c r="P151">
        <v>0.31201000000000001</v>
      </c>
      <c r="R151">
        <v>0.28105000000000002</v>
      </c>
      <c r="T151">
        <v>0.24992</v>
      </c>
    </row>
    <row r="152" spans="2:20" x14ac:dyDescent="0.3">
      <c r="B152">
        <v>0.38855000000000001</v>
      </c>
      <c r="D152">
        <v>0.38235999999999998</v>
      </c>
      <c r="F152">
        <v>0.37925999999999999</v>
      </c>
      <c r="H152">
        <v>0.37341000000000002</v>
      </c>
      <c r="J152">
        <v>0.35793000000000003</v>
      </c>
      <c r="L152">
        <v>0.34295999999999999</v>
      </c>
      <c r="N152">
        <v>0.32749</v>
      </c>
      <c r="P152">
        <v>0.312</v>
      </c>
      <c r="R152">
        <v>0.28105000000000002</v>
      </c>
      <c r="T152">
        <v>0.24992</v>
      </c>
    </row>
    <row r="153" spans="2:20" x14ac:dyDescent="0.3">
      <c r="B153">
        <v>0.38855000000000001</v>
      </c>
      <c r="D153">
        <v>0.38235000000000002</v>
      </c>
      <c r="F153">
        <v>0.37942999999999999</v>
      </c>
      <c r="H153">
        <v>0.37341000000000002</v>
      </c>
      <c r="J153">
        <v>0.35809999999999997</v>
      </c>
      <c r="L153">
        <v>0.34314</v>
      </c>
      <c r="N153">
        <v>0.32747999999999999</v>
      </c>
      <c r="P153">
        <v>0.31218000000000001</v>
      </c>
      <c r="R153">
        <v>0.28105000000000002</v>
      </c>
      <c r="T153">
        <v>0.24973999999999999</v>
      </c>
    </row>
    <row r="154" spans="2:20" x14ac:dyDescent="0.3">
      <c r="B154">
        <v>0.38855000000000001</v>
      </c>
      <c r="D154">
        <v>0.38252999999999998</v>
      </c>
      <c r="F154">
        <v>0.37959999999999999</v>
      </c>
      <c r="H154">
        <v>0.37341000000000002</v>
      </c>
      <c r="J154">
        <v>0.35826999999999998</v>
      </c>
      <c r="L154">
        <v>0.34314</v>
      </c>
      <c r="N154">
        <v>0.32766000000000001</v>
      </c>
      <c r="P154">
        <v>0.31218000000000001</v>
      </c>
      <c r="R154">
        <v>0.28122000000000003</v>
      </c>
      <c r="T154">
        <v>0.24975</v>
      </c>
    </row>
    <row r="155" spans="2:20" x14ac:dyDescent="0.3">
      <c r="B155">
        <v>0.38838</v>
      </c>
      <c r="D155">
        <v>0.38252999999999998</v>
      </c>
      <c r="F155">
        <v>0.37961</v>
      </c>
      <c r="H155">
        <v>0.37341000000000002</v>
      </c>
      <c r="J155">
        <v>0.35844999999999999</v>
      </c>
      <c r="L155">
        <v>0.34332000000000001</v>
      </c>
      <c r="N155">
        <v>0.32766000000000001</v>
      </c>
      <c r="P155">
        <v>0.31218000000000001</v>
      </c>
      <c r="R155">
        <v>0.28122000000000003</v>
      </c>
      <c r="T155">
        <v>0.24956999999999999</v>
      </c>
    </row>
    <row r="156" spans="2:20" x14ac:dyDescent="0.3">
      <c r="B156">
        <v>0.38836999999999999</v>
      </c>
      <c r="D156">
        <v>0.38235999999999998</v>
      </c>
      <c r="F156">
        <v>0.37944</v>
      </c>
      <c r="H156">
        <v>0.37341000000000002</v>
      </c>
      <c r="J156">
        <v>0.35844999999999999</v>
      </c>
      <c r="L156">
        <v>0.34314</v>
      </c>
      <c r="N156">
        <v>0.32766000000000001</v>
      </c>
      <c r="P156">
        <v>0.31218000000000001</v>
      </c>
      <c r="R156">
        <v>0.28138999999999997</v>
      </c>
      <c r="T156">
        <v>0.24956999999999999</v>
      </c>
    </row>
    <row r="157" spans="2:20" x14ac:dyDescent="0.3">
      <c r="B157">
        <v>0.38854</v>
      </c>
      <c r="D157">
        <v>0.38235999999999998</v>
      </c>
      <c r="F157">
        <v>0.37925999999999999</v>
      </c>
      <c r="H157">
        <v>0.37341000000000002</v>
      </c>
      <c r="J157">
        <v>0.35844999999999999</v>
      </c>
      <c r="L157">
        <v>0.34314</v>
      </c>
      <c r="N157">
        <v>0.32749</v>
      </c>
      <c r="P157">
        <v>0.31218000000000001</v>
      </c>
      <c r="R157">
        <v>0.28138999999999997</v>
      </c>
      <c r="T157">
        <v>0.24956999999999999</v>
      </c>
    </row>
    <row r="158" spans="2:20" x14ac:dyDescent="0.3">
      <c r="B158">
        <v>0.38872000000000001</v>
      </c>
      <c r="D158">
        <v>0.38235000000000002</v>
      </c>
      <c r="F158">
        <v>0.37925999999999999</v>
      </c>
      <c r="H158">
        <v>0.37341000000000002</v>
      </c>
      <c r="J158">
        <v>0.35827999999999999</v>
      </c>
      <c r="L158">
        <v>0.34297</v>
      </c>
      <c r="N158">
        <v>0.32749</v>
      </c>
      <c r="P158">
        <v>0.31201000000000001</v>
      </c>
      <c r="R158">
        <v>0.28138999999999997</v>
      </c>
      <c r="T158">
        <v>0.24956999999999999</v>
      </c>
    </row>
    <row r="159" spans="2:20" x14ac:dyDescent="0.3">
      <c r="B159">
        <v>0.38855000000000001</v>
      </c>
      <c r="D159">
        <v>0.38252999999999998</v>
      </c>
      <c r="F159">
        <v>0.37942999999999999</v>
      </c>
      <c r="H159">
        <v>0.37341000000000002</v>
      </c>
      <c r="J159">
        <v>0.35810999999999998</v>
      </c>
      <c r="L159">
        <v>0.34297</v>
      </c>
      <c r="N159">
        <v>0.32749</v>
      </c>
      <c r="P159">
        <v>0.31201000000000001</v>
      </c>
      <c r="R159">
        <v>0.28138999999999997</v>
      </c>
      <c r="T159">
        <v>0.24956999999999999</v>
      </c>
    </row>
    <row r="160" spans="2:20" x14ac:dyDescent="0.3">
      <c r="B160">
        <v>0.38855000000000001</v>
      </c>
      <c r="D160">
        <v>0.38252999999999998</v>
      </c>
      <c r="F160">
        <v>0.37959999999999999</v>
      </c>
      <c r="H160">
        <v>0.37341000000000002</v>
      </c>
      <c r="J160">
        <v>0.35793000000000003</v>
      </c>
      <c r="L160">
        <v>0.34297</v>
      </c>
      <c r="N160">
        <v>0.32732</v>
      </c>
      <c r="P160">
        <v>0.31184000000000001</v>
      </c>
      <c r="R160">
        <v>0.28138999999999997</v>
      </c>
      <c r="T160">
        <v>0.24956999999999999</v>
      </c>
    </row>
    <row r="161" spans="2:20" x14ac:dyDescent="0.3">
      <c r="B161">
        <v>0.38855000000000001</v>
      </c>
      <c r="D161">
        <v>0.38252999999999998</v>
      </c>
      <c r="F161">
        <v>0.37959999999999999</v>
      </c>
      <c r="H161">
        <v>0.37341000000000002</v>
      </c>
      <c r="J161">
        <v>0.35793000000000003</v>
      </c>
      <c r="L161">
        <v>0.34297</v>
      </c>
      <c r="N161">
        <v>0.32732</v>
      </c>
      <c r="P161">
        <v>0.31184000000000001</v>
      </c>
      <c r="R161">
        <v>0.28138999999999997</v>
      </c>
      <c r="T161">
        <v>0.24973999999999999</v>
      </c>
    </row>
    <row r="162" spans="2:20" x14ac:dyDescent="0.3">
      <c r="B162">
        <v>0.38854</v>
      </c>
      <c r="D162">
        <v>0.38235999999999998</v>
      </c>
      <c r="F162">
        <v>0.37961</v>
      </c>
      <c r="H162">
        <v>0.37341000000000002</v>
      </c>
      <c r="J162">
        <v>0.35809999999999997</v>
      </c>
      <c r="L162">
        <v>0.34295999999999999</v>
      </c>
      <c r="N162">
        <v>0.32730999999999999</v>
      </c>
      <c r="P162">
        <v>0.31183</v>
      </c>
      <c r="R162">
        <v>0.28122000000000003</v>
      </c>
      <c r="T162">
        <v>0.24973999999999999</v>
      </c>
    </row>
    <row r="163" spans="2:20" x14ac:dyDescent="0.3">
      <c r="B163">
        <v>0.38872000000000001</v>
      </c>
      <c r="D163">
        <v>0.38235999999999998</v>
      </c>
      <c r="F163">
        <v>0.37944</v>
      </c>
      <c r="H163">
        <v>0.37341000000000002</v>
      </c>
      <c r="J163">
        <v>0.35826999999999998</v>
      </c>
      <c r="L163">
        <v>0.34314</v>
      </c>
      <c r="N163">
        <v>0.32749</v>
      </c>
      <c r="P163">
        <v>0.31201000000000001</v>
      </c>
      <c r="R163">
        <v>0.28122000000000003</v>
      </c>
      <c r="T163">
        <v>0.24992</v>
      </c>
    </row>
    <row r="164" spans="2:20" x14ac:dyDescent="0.3">
      <c r="B164">
        <v>0.38872000000000001</v>
      </c>
      <c r="D164">
        <v>0.38235000000000002</v>
      </c>
      <c r="F164">
        <v>0.37925999999999999</v>
      </c>
      <c r="H164">
        <v>0.37341000000000002</v>
      </c>
      <c r="J164">
        <v>0.35844999999999999</v>
      </c>
      <c r="L164">
        <v>0.34314</v>
      </c>
      <c r="N164">
        <v>0.32749</v>
      </c>
      <c r="P164">
        <v>0.31201000000000001</v>
      </c>
      <c r="R164">
        <v>0.28105000000000002</v>
      </c>
      <c r="T164">
        <v>0.24992</v>
      </c>
    </row>
    <row r="165" spans="2:20" x14ac:dyDescent="0.3">
      <c r="B165">
        <v>0.38855000000000001</v>
      </c>
      <c r="D165">
        <v>0.38252999999999998</v>
      </c>
      <c r="F165">
        <v>0.37925999999999999</v>
      </c>
      <c r="H165">
        <v>0.37341000000000002</v>
      </c>
      <c r="J165">
        <v>0.35844999999999999</v>
      </c>
      <c r="L165">
        <v>0.34332000000000001</v>
      </c>
      <c r="N165">
        <v>0.32747999999999999</v>
      </c>
      <c r="P165">
        <v>0.312</v>
      </c>
      <c r="R165">
        <v>0.28105000000000002</v>
      </c>
      <c r="T165">
        <v>0.24992</v>
      </c>
    </row>
    <row r="166" spans="2:20" x14ac:dyDescent="0.3">
      <c r="B166">
        <v>0.38855000000000001</v>
      </c>
      <c r="D166">
        <v>0.38252999999999998</v>
      </c>
      <c r="F166">
        <v>0.37942999999999999</v>
      </c>
      <c r="H166">
        <v>0.37341000000000002</v>
      </c>
      <c r="J166">
        <v>0.35844999999999999</v>
      </c>
      <c r="L166">
        <v>0.34314</v>
      </c>
      <c r="N166">
        <v>0.32766000000000001</v>
      </c>
      <c r="P166">
        <v>0.31218000000000001</v>
      </c>
      <c r="R166">
        <v>0.28105000000000002</v>
      </c>
      <c r="T166">
        <v>0.24992</v>
      </c>
    </row>
    <row r="167" spans="2:20" x14ac:dyDescent="0.3">
      <c r="B167">
        <v>0.38855000000000001</v>
      </c>
      <c r="D167">
        <v>0.38252999999999998</v>
      </c>
      <c r="F167">
        <v>0.37959999999999999</v>
      </c>
      <c r="H167">
        <v>0.37341000000000002</v>
      </c>
      <c r="J167">
        <v>0.35827999999999999</v>
      </c>
      <c r="L167">
        <v>0.34314</v>
      </c>
      <c r="N167">
        <v>0.32766000000000001</v>
      </c>
      <c r="P167">
        <v>0.31218000000000001</v>
      </c>
      <c r="R167">
        <v>0.28105000000000002</v>
      </c>
      <c r="T167">
        <v>0.24992</v>
      </c>
    </row>
    <row r="168" spans="2:20" x14ac:dyDescent="0.3">
      <c r="B168">
        <v>0.38854</v>
      </c>
      <c r="D168">
        <v>0.38235999999999998</v>
      </c>
      <c r="F168">
        <v>0.37959999999999999</v>
      </c>
      <c r="H168">
        <v>0.37341000000000002</v>
      </c>
      <c r="J168">
        <v>0.35810999999999998</v>
      </c>
      <c r="L168">
        <v>0.34314</v>
      </c>
      <c r="N168">
        <v>0.32749</v>
      </c>
      <c r="P168">
        <v>0.31218000000000001</v>
      </c>
      <c r="R168">
        <v>0.28105000000000002</v>
      </c>
      <c r="T168">
        <v>0.24992</v>
      </c>
    </row>
    <row r="169" spans="2:20" x14ac:dyDescent="0.3">
      <c r="B169">
        <v>0.38872000000000001</v>
      </c>
      <c r="D169">
        <v>0.38235999999999998</v>
      </c>
      <c r="F169">
        <v>0.37961</v>
      </c>
      <c r="H169">
        <v>0.37341000000000002</v>
      </c>
      <c r="J169">
        <v>0.35793000000000003</v>
      </c>
      <c r="L169">
        <v>0.34297</v>
      </c>
      <c r="N169">
        <v>0.32749</v>
      </c>
      <c r="P169">
        <v>0.31218000000000001</v>
      </c>
      <c r="R169">
        <v>0.28122000000000003</v>
      </c>
      <c r="T169">
        <v>0.24992</v>
      </c>
    </row>
    <row r="170" spans="2:20" x14ac:dyDescent="0.3">
      <c r="B170">
        <v>0.38855000000000001</v>
      </c>
      <c r="D170">
        <v>0.38235999999999998</v>
      </c>
      <c r="F170">
        <v>0.37944</v>
      </c>
      <c r="H170">
        <v>0.37341000000000002</v>
      </c>
      <c r="J170">
        <v>0.35793000000000003</v>
      </c>
      <c r="L170">
        <v>0.34297</v>
      </c>
      <c r="N170">
        <v>0.32749</v>
      </c>
      <c r="P170">
        <v>0.31201000000000001</v>
      </c>
      <c r="R170">
        <v>0.28122000000000003</v>
      </c>
      <c r="T170">
        <v>0.24992</v>
      </c>
    </row>
    <row r="171" spans="2:20" x14ac:dyDescent="0.3">
      <c r="B171">
        <v>0.38855000000000001</v>
      </c>
      <c r="D171">
        <v>0.38235000000000002</v>
      </c>
      <c r="F171">
        <v>0.37925999999999999</v>
      </c>
      <c r="H171">
        <v>0.37341000000000002</v>
      </c>
      <c r="J171">
        <v>0.35809999999999997</v>
      </c>
      <c r="L171">
        <v>0.34297</v>
      </c>
      <c r="N171">
        <v>0.32732</v>
      </c>
      <c r="P171">
        <v>0.31201000000000001</v>
      </c>
      <c r="R171">
        <v>0.28138999999999997</v>
      </c>
      <c r="T171">
        <v>0.24973999999999999</v>
      </c>
    </row>
    <row r="172" spans="2:20" x14ac:dyDescent="0.3">
      <c r="B172">
        <v>0.38836999999999999</v>
      </c>
      <c r="D172">
        <v>0.38252999999999998</v>
      </c>
      <c r="F172">
        <v>0.37942999999999999</v>
      </c>
      <c r="H172">
        <v>0.37341000000000002</v>
      </c>
      <c r="J172">
        <v>0.35826999999999998</v>
      </c>
      <c r="L172">
        <v>0.34295999999999999</v>
      </c>
      <c r="N172">
        <v>0.32730999999999999</v>
      </c>
      <c r="P172">
        <v>0.31201000000000001</v>
      </c>
      <c r="R172">
        <v>0.28138999999999997</v>
      </c>
      <c r="T172">
        <v>0.24973999999999999</v>
      </c>
    </row>
    <row r="173" spans="2:20" x14ac:dyDescent="0.3">
      <c r="B173">
        <v>0.38855000000000001</v>
      </c>
      <c r="D173">
        <v>0.38252999999999998</v>
      </c>
      <c r="F173">
        <v>0.37942999999999999</v>
      </c>
      <c r="H173">
        <v>0.37341000000000002</v>
      </c>
      <c r="J173">
        <v>0.35844999999999999</v>
      </c>
      <c r="L173">
        <v>0.34314</v>
      </c>
      <c r="N173">
        <v>0.32749</v>
      </c>
      <c r="P173">
        <v>0.31184000000000001</v>
      </c>
      <c r="R173">
        <v>0.28138999999999997</v>
      </c>
      <c r="T173">
        <v>0.24973999999999999</v>
      </c>
    </row>
    <row r="174" spans="2:20" x14ac:dyDescent="0.3">
      <c r="B174">
        <v>0.38854</v>
      </c>
      <c r="D174">
        <v>0.38235999999999998</v>
      </c>
      <c r="F174">
        <v>0.37959999999999999</v>
      </c>
      <c r="H174">
        <v>0.37341000000000002</v>
      </c>
      <c r="J174">
        <v>0.35844999999999999</v>
      </c>
      <c r="L174">
        <v>0.34314</v>
      </c>
      <c r="N174">
        <v>0.32749</v>
      </c>
      <c r="P174">
        <v>0.31184000000000001</v>
      </c>
      <c r="R174">
        <v>0.28138999999999997</v>
      </c>
      <c r="T174">
        <v>0.24973999999999999</v>
      </c>
    </row>
    <row r="175" spans="2:20" x14ac:dyDescent="0.3">
      <c r="B175">
        <v>0.38872000000000001</v>
      </c>
      <c r="D175">
        <v>0.38235999999999998</v>
      </c>
      <c r="F175">
        <v>0.37961</v>
      </c>
      <c r="H175">
        <v>0.37341000000000002</v>
      </c>
      <c r="J175">
        <v>0.35827999999999999</v>
      </c>
      <c r="L175">
        <v>0.34331</v>
      </c>
      <c r="N175">
        <v>0.32747999999999999</v>
      </c>
      <c r="P175">
        <v>0.31183</v>
      </c>
      <c r="R175">
        <v>0.28138999999999997</v>
      </c>
      <c r="T175">
        <v>0.24973999999999999</v>
      </c>
    </row>
    <row r="176" spans="2:20" x14ac:dyDescent="0.3">
      <c r="B176">
        <v>0.38855000000000001</v>
      </c>
      <c r="D176">
        <v>0.38235999999999998</v>
      </c>
      <c r="F176">
        <v>0.37944</v>
      </c>
      <c r="H176">
        <v>0.37341000000000002</v>
      </c>
      <c r="J176">
        <v>0.35827999999999999</v>
      </c>
      <c r="L176">
        <v>0.34332000000000001</v>
      </c>
      <c r="N176">
        <v>0.32766000000000001</v>
      </c>
      <c r="P176">
        <v>0.31201000000000001</v>
      </c>
      <c r="R176">
        <v>0.28122000000000003</v>
      </c>
      <c r="T176">
        <v>0.24973999999999999</v>
      </c>
    </row>
    <row r="177" spans="2:20" x14ac:dyDescent="0.3">
      <c r="B177">
        <v>0.38855000000000001</v>
      </c>
      <c r="D177">
        <v>0.38235000000000002</v>
      </c>
      <c r="F177">
        <v>0.37925999999999999</v>
      </c>
      <c r="H177">
        <v>0.37341000000000002</v>
      </c>
      <c r="J177">
        <v>0.35810999999999998</v>
      </c>
      <c r="L177">
        <v>0.34314</v>
      </c>
      <c r="N177">
        <v>0.32766000000000001</v>
      </c>
      <c r="P177">
        <v>0.312</v>
      </c>
      <c r="R177">
        <v>0.28122000000000003</v>
      </c>
      <c r="T177">
        <v>0.24973999999999999</v>
      </c>
    </row>
    <row r="178" spans="2:20" x14ac:dyDescent="0.3">
      <c r="B178">
        <v>0.38854</v>
      </c>
      <c r="D178">
        <v>0.38252999999999998</v>
      </c>
      <c r="F178">
        <v>0.37925999999999999</v>
      </c>
      <c r="H178">
        <v>0.37341000000000002</v>
      </c>
      <c r="J178">
        <v>0.35793000000000003</v>
      </c>
      <c r="L178">
        <v>0.34297</v>
      </c>
      <c r="N178">
        <v>0.32766000000000001</v>
      </c>
      <c r="P178">
        <v>0.31218000000000001</v>
      </c>
      <c r="R178">
        <v>0.28105000000000002</v>
      </c>
      <c r="T178">
        <v>0.24992</v>
      </c>
    </row>
    <row r="179" spans="2:20" x14ac:dyDescent="0.3">
      <c r="B179">
        <v>0.38872000000000001</v>
      </c>
      <c r="D179">
        <v>0.38252999999999998</v>
      </c>
      <c r="F179">
        <v>0.37942999999999999</v>
      </c>
      <c r="H179">
        <v>0.37341000000000002</v>
      </c>
      <c r="J179">
        <v>0.35793000000000003</v>
      </c>
      <c r="L179">
        <v>0.34297</v>
      </c>
      <c r="N179">
        <v>0.32766000000000001</v>
      </c>
      <c r="P179">
        <v>0.31218000000000001</v>
      </c>
      <c r="R179">
        <v>0.28105000000000002</v>
      </c>
      <c r="T179">
        <v>0.24992</v>
      </c>
    </row>
    <row r="180" spans="2:20" x14ac:dyDescent="0.3">
      <c r="B180">
        <v>0.38872000000000001</v>
      </c>
      <c r="D180">
        <v>0.38252999999999998</v>
      </c>
      <c r="F180">
        <v>0.37942999999999999</v>
      </c>
      <c r="H180">
        <v>0.37341000000000002</v>
      </c>
      <c r="J180">
        <v>0.35809999999999997</v>
      </c>
      <c r="L180">
        <v>0.34297</v>
      </c>
      <c r="N180">
        <v>0.32749</v>
      </c>
      <c r="P180">
        <v>0.31218000000000001</v>
      </c>
      <c r="R180">
        <v>0.28105000000000002</v>
      </c>
      <c r="T180">
        <v>0.24992</v>
      </c>
    </row>
    <row r="181" spans="2:20" x14ac:dyDescent="0.3">
      <c r="B181">
        <v>0.38872000000000001</v>
      </c>
      <c r="D181">
        <v>0.38252999999999998</v>
      </c>
      <c r="F181">
        <v>0.37959999999999999</v>
      </c>
      <c r="H181">
        <v>0.37341000000000002</v>
      </c>
      <c r="J181">
        <v>0.35826999999999998</v>
      </c>
      <c r="L181">
        <v>0.34297</v>
      </c>
      <c r="N181">
        <v>0.32749</v>
      </c>
      <c r="P181">
        <v>0.31218000000000001</v>
      </c>
      <c r="R181">
        <v>0.28105000000000002</v>
      </c>
      <c r="T181">
        <v>0.24992</v>
      </c>
    </row>
    <row r="182" spans="2:20" x14ac:dyDescent="0.3">
      <c r="B182">
        <v>0.38855000000000001</v>
      </c>
      <c r="D182">
        <v>0.38252999999999998</v>
      </c>
      <c r="F182">
        <v>0.37961</v>
      </c>
      <c r="H182">
        <v>0.37341000000000002</v>
      </c>
      <c r="J182">
        <v>0.35844999999999999</v>
      </c>
      <c r="L182">
        <v>0.34295999999999999</v>
      </c>
      <c r="N182">
        <v>0.32732</v>
      </c>
      <c r="P182">
        <v>0.31201000000000001</v>
      </c>
      <c r="R182">
        <v>0.28105000000000002</v>
      </c>
      <c r="T182">
        <v>0.24992</v>
      </c>
    </row>
    <row r="183" spans="2:20" x14ac:dyDescent="0.3">
      <c r="B183">
        <v>0.38854</v>
      </c>
      <c r="D183">
        <v>0.38252999999999998</v>
      </c>
      <c r="F183">
        <v>0.37944</v>
      </c>
      <c r="H183">
        <v>0.37341000000000002</v>
      </c>
      <c r="J183">
        <v>0.35844999999999999</v>
      </c>
      <c r="L183">
        <v>0.34314</v>
      </c>
      <c r="N183">
        <v>0.32732</v>
      </c>
      <c r="P183">
        <v>0.31201000000000001</v>
      </c>
      <c r="R183">
        <v>0.28122000000000003</v>
      </c>
      <c r="T183">
        <v>0.24992</v>
      </c>
    </row>
    <row r="184" spans="2:20" x14ac:dyDescent="0.3">
      <c r="B184">
        <v>0.38872000000000001</v>
      </c>
      <c r="D184">
        <v>0.38252999999999998</v>
      </c>
      <c r="F184">
        <v>0.37925999999999999</v>
      </c>
      <c r="H184">
        <v>0.37341000000000002</v>
      </c>
      <c r="J184">
        <v>0.35827999999999999</v>
      </c>
      <c r="L184">
        <v>0.34314</v>
      </c>
      <c r="N184">
        <v>0.32730999999999999</v>
      </c>
      <c r="P184">
        <v>0.31201000000000001</v>
      </c>
      <c r="R184">
        <v>0.28122000000000003</v>
      </c>
      <c r="T184">
        <v>0.24992</v>
      </c>
    </row>
    <row r="185" spans="2:20" x14ac:dyDescent="0.3">
      <c r="B185">
        <v>0.38872000000000001</v>
      </c>
      <c r="D185">
        <v>0.38252999999999998</v>
      </c>
      <c r="F185">
        <v>0.37925999999999999</v>
      </c>
      <c r="H185">
        <v>0.37341000000000002</v>
      </c>
      <c r="J185">
        <v>0.35810999999999998</v>
      </c>
      <c r="L185">
        <v>0.34332000000000001</v>
      </c>
      <c r="N185">
        <v>0.32749</v>
      </c>
      <c r="P185">
        <v>0.31184000000000001</v>
      </c>
      <c r="R185">
        <v>0.28138999999999997</v>
      </c>
      <c r="T185">
        <v>0.24992</v>
      </c>
    </row>
    <row r="186" spans="2:20" x14ac:dyDescent="0.3">
      <c r="B186">
        <v>0.38872000000000001</v>
      </c>
      <c r="D186">
        <v>0.38252999999999998</v>
      </c>
      <c r="F186">
        <v>0.37925999999999999</v>
      </c>
      <c r="H186">
        <v>0.37341000000000002</v>
      </c>
      <c r="J186">
        <v>0.35793000000000003</v>
      </c>
      <c r="L186">
        <v>0.34314</v>
      </c>
      <c r="N186">
        <v>0.32749</v>
      </c>
      <c r="P186">
        <v>0.31184000000000001</v>
      </c>
      <c r="R186">
        <v>0.28138999999999997</v>
      </c>
      <c r="T186">
        <v>0.24973999999999999</v>
      </c>
    </row>
    <row r="187" spans="2:20" x14ac:dyDescent="0.3">
      <c r="B187">
        <v>0.38872000000000001</v>
      </c>
      <c r="D187">
        <v>0.38252999999999998</v>
      </c>
      <c r="F187">
        <v>0.37942999999999999</v>
      </c>
      <c r="H187">
        <v>0.37341000000000002</v>
      </c>
      <c r="J187">
        <v>0.35793000000000003</v>
      </c>
      <c r="L187">
        <v>0.34314</v>
      </c>
      <c r="N187">
        <v>0.32749</v>
      </c>
      <c r="P187">
        <v>0.31183</v>
      </c>
      <c r="R187">
        <v>0.28138999999999997</v>
      </c>
      <c r="T187">
        <v>0.24973999999999999</v>
      </c>
    </row>
    <row r="188" spans="2:20" x14ac:dyDescent="0.3">
      <c r="B188">
        <v>0.38855000000000001</v>
      </c>
      <c r="D188">
        <v>0.38252999999999998</v>
      </c>
      <c r="F188">
        <v>0.37961</v>
      </c>
      <c r="H188">
        <v>0.37341000000000002</v>
      </c>
      <c r="J188">
        <v>0.35793000000000003</v>
      </c>
      <c r="L188">
        <v>0.34297</v>
      </c>
      <c r="N188">
        <v>0.32747999999999999</v>
      </c>
      <c r="P188">
        <v>0.31201000000000001</v>
      </c>
      <c r="R188">
        <v>0.28138999999999997</v>
      </c>
      <c r="T188">
        <v>0.24973999999999999</v>
      </c>
    </row>
    <row r="189" spans="2:20" x14ac:dyDescent="0.3">
      <c r="B189">
        <v>0.38854</v>
      </c>
      <c r="D189">
        <v>0.38252999999999998</v>
      </c>
      <c r="F189">
        <v>0.37942999999999999</v>
      </c>
      <c r="H189">
        <v>0.37341000000000002</v>
      </c>
      <c r="J189">
        <v>0.35809999999999997</v>
      </c>
      <c r="L189">
        <v>0.34297</v>
      </c>
      <c r="N189">
        <v>0.32766000000000001</v>
      </c>
      <c r="P189">
        <v>0.312</v>
      </c>
      <c r="R189">
        <v>0.28138999999999997</v>
      </c>
      <c r="T189">
        <v>0.24975</v>
      </c>
    </row>
    <row r="190" spans="2:20" x14ac:dyDescent="0.3">
      <c r="B190">
        <v>0.38872000000000001</v>
      </c>
      <c r="D190">
        <v>0.38252999999999998</v>
      </c>
      <c r="F190">
        <v>0.37944</v>
      </c>
      <c r="H190">
        <v>0.37341000000000002</v>
      </c>
      <c r="J190">
        <v>0.35826999999999998</v>
      </c>
      <c r="L190">
        <v>0.34297</v>
      </c>
      <c r="N190">
        <v>0.32749</v>
      </c>
      <c r="P190">
        <v>0.31218000000000001</v>
      </c>
      <c r="R190">
        <v>0.28122000000000003</v>
      </c>
      <c r="T190">
        <v>0.24956999999999999</v>
      </c>
    </row>
    <row r="191" spans="2:20" x14ac:dyDescent="0.3">
      <c r="B191">
        <v>0.38872000000000001</v>
      </c>
      <c r="D191">
        <v>0.38252999999999998</v>
      </c>
      <c r="F191">
        <v>0.37925999999999999</v>
      </c>
      <c r="H191">
        <v>0.37341000000000002</v>
      </c>
      <c r="J191">
        <v>0.35844999999999999</v>
      </c>
      <c r="L191">
        <v>0.34297</v>
      </c>
      <c r="N191">
        <v>0.32749</v>
      </c>
      <c r="P191">
        <v>0.31218000000000001</v>
      </c>
      <c r="R191">
        <v>0.28122000000000003</v>
      </c>
      <c r="T191">
        <v>0.24973999999999999</v>
      </c>
    </row>
    <row r="192" spans="2:20" x14ac:dyDescent="0.3">
      <c r="B192">
        <v>0.38872000000000001</v>
      </c>
      <c r="D192">
        <v>0.38252999999999998</v>
      </c>
      <c r="F192">
        <v>0.37925999999999999</v>
      </c>
      <c r="H192">
        <v>0.37341000000000002</v>
      </c>
      <c r="J192">
        <v>0.35844999999999999</v>
      </c>
      <c r="L192">
        <v>0.34297</v>
      </c>
      <c r="N192">
        <v>0.32749</v>
      </c>
      <c r="P192">
        <v>0.31218000000000001</v>
      </c>
      <c r="R192">
        <v>0.28122000000000003</v>
      </c>
      <c r="T192">
        <v>0.24973999999999999</v>
      </c>
    </row>
    <row r="193" spans="2:20" x14ac:dyDescent="0.3">
      <c r="B193">
        <v>0.38855000000000001</v>
      </c>
      <c r="D193">
        <v>0.38252999999999998</v>
      </c>
      <c r="F193">
        <v>0.37942999999999999</v>
      </c>
      <c r="H193">
        <v>0.37341000000000002</v>
      </c>
      <c r="J193">
        <v>0.35827999999999999</v>
      </c>
      <c r="L193">
        <v>0.34295999999999999</v>
      </c>
      <c r="N193">
        <v>0.32732</v>
      </c>
      <c r="P193">
        <v>0.31218000000000001</v>
      </c>
      <c r="R193">
        <v>0.28105000000000002</v>
      </c>
      <c r="T193">
        <v>0.24973999999999999</v>
      </c>
    </row>
    <row r="194" spans="2:20" x14ac:dyDescent="0.3">
      <c r="B194">
        <v>0.38855000000000001</v>
      </c>
      <c r="D194">
        <v>0.38252999999999998</v>
      </c>
      <c r="F194">
        <v>0.37959999999999999</v>
      </c>
      <c r="H194">
        <v>0.37341000000000002</v>
      </c>
      <c r="J194">
        <v>0.35810999999999998</v>
      </c>
      <c r="L194">
        <v>0.34314</v>
      </c>
      <c r="N194">
        <v>0.32732</v>
      </c>
      <c r="P194">
        <v>0.31201000000000001</v>
      </c>
      <c r="R194">
        <v>0.28105000000000002</v>
      </c>
      <c r="T194">
        <v>0.24992</v>
      </c>
    </row>
    <row r="195" spans="2:20" x14ac:dyDescent="0.3">
      <c r="B195">
        <v>0.38854</v>
      </c>
      <c r="D195">
        <v>0.38252999999999998</v>
      </c>
      <c r="F195">
        <v>0.37959999999999999</v>
      </c>
      <c r="H195">
        <v>0.37341000000000002</v>
      </c>
      <c r="J195">
        <v>0.35793000000000003</v>
      </c>
      <c r="L195">
        <v>0.34314</v>
      </c>
      <c r="N195">
        <v>0.32730999999999999</v>
      </c>
      <c r="P195">
        <v>0.31201000000000001</v>
      </c>
      <c r="R195">
        <v>0.28105000000000002</v>
      </c>
      <c r="T195">
        <v>0.24992</v>
      </c>
    </row>
    <row r="196" spans="2:20" x14ac:dyDescent="0.3">
      <c r="B196">
        <v>0.38872000000000001</v>
      </c>
      <c r="D196">
        <v>0.38252999999999998</v>
      </c>
      <c r="F196">
        <v>0.37961</v>
      </c>
      <c r="H196">
        <v>0.37341000000000002</v>
      </c>
      <c r="J196">
        <v>0.35793000000000003</v>
      </c>
      <c r="L196">
        <v>0.34314</v>
      </c>
      <c r="N196">
        <v>0.32749</v>
      </c>
      <c r="P196">
        <v>0.31201000000000001</v>
      </c>
      <c r="R196">
        <v>0.28105000000000002</v>
      </c>
      <c r="T196">
        <v>0.24992</v>
      </c>
    </row>
    <row r="197" spans="2:20" x14ac:dyDescent="0.3">
      <c r="B197">
        <v>0.38872000000000001</v>
      </c>
      <c r="D197">
        <v>0.38252999999999998</v>
      </c>
      <c r="F197">
        <v>0.37944</v>
      </c>
      <c r="H197">
        <v>0.37358999999999998</v>
      </c>
      <c r="J197">
        <v>0.35793000000000003</v>
      </c>
      <c r="L197">
        <v>0.34314</v>
      </c>
      <c r="N197">
        <v>0.32749</v>
      </c>
      <c r="P197">
        <v>0.31184000000000001</v>
      </c>
      <c r="R197">
        <v>0.28122000000000003</v>
      </c>
      <c r="T197">
        <v>0.24992</v>
      </c>
    </row>
    <row r="198" spans="2:20" x14ac:dyDescent="0.3">
      <c r="B198">
        <v>0.38872000000000001</v>
      </c>
      <c r="D198">
        <v>0.38252999999999998</v>
      </c>
      <c r="F198">
        <v>0.37925999999999999</v>
      </c>
      <c r="H198">
        <v>0.37341000000000002</v>
      </c>
      <c r="J198">
        <v>0.35809999999999997</v>
      </c>
      <c r="L198">
        <v>0.34297</v>
      </c>
      <c r="N198">
        <v>0.32747999999999999</v>
      </c>
      <c r="P198">
        <v>0.31184000000000001</v>
      </c>
      <c r="R198">
        <v>0.28122000000000003</v>
      </c>
      <c r="T198">
        <v>0.24992</v>
      </c>
    </row>
    <row r="199" spans="2:20" x14ac:dyDescent="0.3">
      <c r="B199">
        <v>0.38855000000000001</v>
      </c>
      <c r="D199">
        <v>0.38252999999999998</v>
      </c>
      <c r="F199">
        <v>0.37942999999999999</v>
      </c>
      <c r="H199">
        <v>0.37341000000000002</v>
      </c>
      <c r="J199">
        <v>0.35826999999999998</v>
      </c>
      <c r="L199">
        <v>0.34297</v>
      </c>
      <c r="N199">
        <v>0.32766000000000001</v>
      </c>
      <c r="P199">
        <v>0.31184000000000001</v>
      </c>
      <c r="R199">
        <v>0.28138999999999997</v>
      </c>
      <c r="T199">
        <v>0.24992</v>
      </c>
    </row>
    <row r="200" spans="2:20" x14ac:dyDescent="0.3">
      <c r="B200">
        <v>0.38854</v>
      </c>
      <c r="D200">
        <v>0.38252999999999998</v>
      </c>
      <c r="F200">
        <v>0.37959999999999999</v>
      </c>
      <c r="H200">
        <v>0.37341000000000002</v>
      </c>
      <c r="J200">
        <v>0.35844999999999999</v>
      </c>
      <c r="L200">
        <v>0.34279999999999999</v>
      </c>
      <c r="N200">
        <v>0.32766000000000001</v>
      </c>
      <c r="P200">
        <v>0.31183</v>
      </c>
      <c r="R200">
        <v>0.28138999999999997</v>
      </c>
      <c r="T200">
        <v>0.24992</v>
      </c>
    </row>
    <row r="201" spans="2:20" x14ac:dyDescent="0.3">
      <c r="B201">
        <v>0.38872000000000001</v>
      </c>
      <c r="D201">
        <v>0.38252999999999998</v>
      </c>
      <c r="F201">
        <v>0.37959999999999999</v>
      </c>
      <c r="H201">
        <v>0.37341000000000002</v>
      </c>
      <c r="J201">
        <v>0.35844999999999999</v>
      </c>
      <c r="L201">
        <v>0.34278999999999998</v>
      </c>
      <c r="N201">
        <v>0.32766000000000001</v>
      </c>
      <c r="P201">
        <v>0.31201000000000001</v>
      </c>
      <c r="R201">
        <v>0.28138999999999997</v>
      </c>
      <c r="T201">
        <v>0.24973999999999999</v>
      </c>
    </row>
    <row r="202" spans="2:20" x14ac:dyDescent="0.3">
      <c r="B202">
        <v>0.38872000000000001</v>
      </c>
      <c r="D202">
        <v>0.38252999999999998</v>
      </c>
      <c r="F202">
        <v>0.37961</v>
      </c>
      <c r="H202">
        <v>0.37341000000000002</v>
      </c>
      <c r="J202">
        <v>0.35827999999999999</v>
      </c>
      <c r="L202">
        <v>0.34297</v>
      </c>
      <c r="N202">
        <v>0.32749</v>
      </c>
      <c r="P202">
        <v>0.31201000000000001</v>
      </c>
      <c r="R202">
        <v>0.28138999999999997</v>
      </c>
      <c r="T202">
        <v>0.24973999999999999</v>
      </c>
    </row>
    <row r="203" spans="2:20" x14ac:dyDescent="0.3">
      <c r="B203">
        <v>0.38872000000000001</v>
      </c>
      <c r="D203">
        <v>0.38252999999999998</v>
      </c>
      <c r="F203">
        <v>0.37942999999999999</v>
      </c>
      <c r="H203">
        <v>0.37341000000000002</v>
      </c>
      <c r="J203">
        <v>0.35809999999999997</v>
      </c>
      <c r="L203">
        <v>0.34295999999999999</v>
      </c>
      <c r="N203">
        <v>0.32749</v>
      </c>
      <c r="P203">
        <v>0.312</v>
      </c>
      <c r="R203">
        <v>0.28138999999999997</v>
      </c>
      <c r="T203">
        <v>0.24975</v>
      </c>
    </row>
    <row r="204" spans="2:20" x14ac:dyDescent="0.3">
      <c r="B204">
        <v>0.38855000000000001</v>
      </c>
      <c r="D204">
        <v>0.38252999999999998</v>
      </c>
      <c r="F204">
        <v>0.37944</v>
      </c>
      <c r="H204">
        <v>0.37341000000000002</v>
      </c>
      <c r="J204">
        <v>0.35810999999999998</v>
      </c>
      <c r="L204">
        <v>0.34314</v>
      </c>
      <c r="N204">
        <v>0.32749</v>
      </c>
      <c r="P204">
        <v>0.31218000000000001</v>
      </c>
      <c r="R204">
        <v>0.28138999999999997</v>
      </c>
      <c r="T204">
        <v>0.24956999999999999</v>
      </c>
    </row>
    <row r="205" spans="2:20" x14ac:dyDescent="0.3">
      <c r="B205">
        <v>0.38855000000000001</v>
      </c>
      <c r="D205">
        <v>0.38252999999999998</v>
      </c>
      <c r="F205">
        <v>0.37925999999999999</v>
      </c>
      <c r="H205">
        <v>0.37341000000000002</v>
      </c>
      <c r="J205">
        <v>0.35793000000000003</v>
      </c>
      <c r="L205">
        <v>0.34314</v>
      </c>
      <c r="N205">
        <v>0.32732</v>
      </c>
      <c r="P205">
        <v>0.31201000000000001</v>
      </c>
      <c r="R205">
        <v>0.28122000000000003</v>
      </c>
      <c r="T205">
        <v>0.24956999999999999</v>
      </c>
    </row>
    <row r="206" spans="2:20" x14ac:dyDescent="0.3">
      <c r="B206">
        <v>0.38854</v>
      </c>
      <c r="D206">
        <v>0.38252999999999998</v>
      </c>
      <c r="F206">
        <v>0.37942999999999999</v>
      </c>
      <c r="H206">
        <v>0.37341000000000002</v>
      </c>
      <c r="J206">
        <v>0.35809999999999997</v>
      </c>
      <c r="L206">
        <v>0.34314</v>
      </c>
      <c r="N206">
        <v>0.32732</v>
      </c>
      <c r="P206">
        <v>0.31201000000000001</v>
      </c>
      <c r="R206">
        <v>0.28122000000000003</v>
      </c>
      <c r="T206">
        <v>0.24956999999999999</v>
      </c>
    </row>
    <row r="207" spans="2:20" x14ac:dyDescent="0.3">
      <c r="B207">
        <v>0.38872000000000001</v>
      </c>
      <c r="D207">
        <v>0.38252999999999998</v>
      </c>
      <c r="F207">
        <v>0.37959999999999999</v>
      </c>
      <c r="H207">
        <v>0.37341000000000002</v>
      </c>
      <c r="J207">
        <v>0.35809999999999997</v>
      </c>
      <c r="L207">
        <v>0.34314</v>
      </c>
      <c r="N207">
        <v>0.32730999999999999</v>
      </c>
      <c r="P207">
        <v>0.31201000000000001</v>
      </c>
      <c r="R207">
        <v>0.28105000000000002</v>
      </c>
      <c r="T207">
        <v>0.24973999999999999</v>
      </c>
    </row>
    <row r="208" spans="2:20" x14ac:dyDescent="0.3">
      <c r="B208">
        <v>0.38872000000000001</v>
      </c>
      <c r="D208">
        <v>0.38252999999999998</v>
      </c>
      <c r="F208">
        <v>0.37959999999999999</v>
      </c>
      <c r="H208">
        <v>0.37341000000000002</v>
      </c>
      <c r="J208">
        <v>0.35826999999999998</v>
      </c>
      <c r="L208">
        <v>0.34297</v>
      </c>
      <c r="N208">
        <v>0.32749</v>
      </c>
      <c r="P208">
        <v>0.31184000000000001</v>
      </c>
      <c r="R208">
        <v>0.28105000000000002</v>
      </c>
      <c r="T208">
        <v>0.24973999999999999</v>
      </c>
    </row>
    <row r="209" spans="2:20" x14ac:dyDescent="0.3">
      <c r="B209">
        <v>0.38872000000000001</v>
      </c>
      <c r="D209">
        <v>0.38252999999999998</v>
      </c>
      <c r="F209">
        <v>0.37961</v>
      </c>
      <c r="H209">
        <v>0.37341000000000002</v>
      </c>
      <c r="J209">
        <v>0.35844999999999999</v>
      </c>
      <c r="L209">
        <v>0.34297</v>
      </c>
      <c r="N209">
        <v>0.32749</v>
      </c>
      <c r="P209">
        <v>0.31184000000000001</v>
      </c>
      <c r="R209">
        <v>0.28105000000000002</v>
      </c>
      <c r="T209">
        <v>0.24973999999999999</v>
      </c>
    </row>
    <row r="210" spans="2:20" x14ac:dyDescent="0.3">
      <c r="B210">
        <v>0.38855000000000001</v>
      </c>
      <c r="D210">
        <v>0.38252999999999998</v>
      </c>
      <c r="F210">
        <v>0.37944</v>
      </c>
      <c r="H210">
        <v>0.37341000000000002</v>
      </c>
      <c r="J210">
        <v>0.35844999999999999</v>
      </c>
      <c r="L210">
        <v>0.34279999999999999</v>
      </c>
      <c r="N210">
        <v>0.32749</v>
      </c>
      <c r="P210">
        <v>0.31165999999999999</v>
      </c>
      <c r="R210">
        <v>0.28105000000000002</v>
      </c>
      <c r="T210">
        <v>0.24992</v>
      </c>
    </row>
    <row r="211" spans="2:20" x14ac:dyDescent="0.3">
      <c r="B211">
        <v>0.38854</v>
      </c>
      <c r="D211">
        <v>0.38252999999999998</v>
      </c>
      <c r="F211">
        <v>0.37925999999999999</v>
      </c>
      <c r="H211">
        <v>0.37341000000000002</v>
      </c>
      <c r="J211">
        <v>0.35827999999999999</v>
      </c>
      <c r="L211">
        <v>0.34278999999999998</v>
      </c>
      <c r="N211">
        <v>0.32749</v>
      </c>
      <c r="P211">
        <v>0.31165999999999999</v>
      </c>
      <c r="R211">
        <v>0.28122000000000003</v>
      </c>
      <c r="T211">
        <v>0.24992</v>
      </c>
    </row>
    <row r="212" spans="2:20" x14ac:dyDescent="0.3">
      <c r="B212">
        <v>0.38872000000000001</v>
      </c>
      <c r="D212">
        <v>0.38252999999999998</v>
      </c>
      <c r="F212">
        <v>0.37925999999999999</v>
      </c>
      <c r="H212">
        <v>0.37341000000000002</v>
      </c>
      <c r="J212">
        <v>0.35810999999999998</v>
      </c>
      <c r="L212">
        <v>0.34297</v>
      </c>
      <c r="N212">
        <v>0.32749</v>
      </c>
      <c r="P212">
        <v>0.31184000000000001</v>
      </c>
      <c r="R212">
        <v>0.28122000000000003</v>
      </c>
      <c r="T212">
        <v>0.24992</v>
      </c>
    </row>
    <row r="213" spans="2:20" x14ac:dyDescent="0.3">
      <c r="B213">
        <v>0.38872000000000001</v>
      </c>
      <c r="D213">
        <v>0.38235999999999998</v>
      </c>
      <c r="F213">
        <v>0.37942999999999999</v>
      </c>
      <c r="H213">
        <v>0.37341000000000002</v>
      </c>
      <c r="J213">
        <v>0.35793000000000003</v>
      </c>
      <c r="L213">
        <v>0.34295999999999999</v>
      </c>
      <c r="N213">
        <v>0.32749</v>
      </c>
      <c r="P213">
        <v>0.31183</v>
      </c>
      <c r="R213">
        <v>0.28138999999999997</v>
      </c>
      <c r="T213">
        <v>0.24992</v>
      </c>
    </row>
    <row r="214" spans="2:20" x14ac:dyDescent="0.3">
      <c r="B214">
        <v>0.38872000000000001</v>
      </c>
      <c r="D214">
        <v>0.38235000000000002</v>
      </c>
      <c r="F214">
        <v>0.37959999999999999</v>
      </c>
      <c r="H214">
        <v>0.37341000000000002</v>
      </c>
      <c r="J214">
        <v>0.35793000000000003</v>
      </c>
      <c r="L214">
        <v>0.34314</v>
      </c>
      <c r="N214">
        <v>0.32749</v>
      </c>
      <c r="P214">
        <v>0.31201000000000001</v>
      </c>
      <c r="R214">
        <v>0.28138999999999997</v>
      </c>
      <c r="T214">
        <v>0.24992</v>
      </c>
    </row>
    <row r="215" spans="2:20" x14ac:dyDescent="0.3">
      <c r="B215">
        <v>0.38872000000000001</v>
      </c>
      <c r="D215">
        <v>0.38252999999999998</v>
      </c>
      <c r="F215">
        <v>0.37959999999999999</v>
      </c>
      <c r="H215">
        <v>0.37341000000000002</v>
      </c>
      <c r="J215">
        <v>0.35793000000000003</v>
      </c>
      <c r="L215">
        <v>0.34314</v>
      </c>
      <c r="N215">
        <v>0.32732</v>
      </c>
      <c r="P215">
        <v>0.31201000000000001</v>
      </c>
      <c r="R215">
        <v>0.28138999999999997</v>
      </c>
      <c r="T215">
        <v>0.24992</v>
      </c>
    </row>
    <row r="216" spans="2:20" x14ac:dyDescent="0.3">
      <c r="B216">
        <v>0.38854</v>
      </c>
      <c r="D216">
        <v>0.38252999999999998</v>
      </c>
      <c r="F216">
        <v>0.37961</v>
      </c>
      <c r="H216">
        <v>0.37341000000000002</v>
      </c>
      <c r="J216">
        <v>0.35809999999999997</v>
      </c>
      <c r="L216">
        <v>0.34314</v>
      </c>
      <c r="N216">
        <v>0.32732</v>
      </c>
      <c r="P216">
        <v>0.31201000000000001</v>
      </c>
      <c r="R216">
        <v>0.28138999999999997</v>
      </c>
      <c r="T216">
        <v>0.24992</v>
      </c>
    </row>
    <row r="217" spans="2:20" x14ac:dyDescent="0.3">
      <c r="B217">
        <v>0.38872000000000001</v>
      </c>
      <c r="D217">
        <v>0.38252999999999998</v>
      </c>
      <c r="F217">
        <v>0.37944</v>
      </c>
      <c r="H217">
        <v>0.37341000000000002</v>
      </c>
      <c r="J217">
        <v>0.35826999999999998</v>
      </c>
      <c r="L217">
        <v>0.34314</v>
      </c>
      <c r="N217">
        <v>0.32732</v>
      </c>
      <c r="P217">
        <v>0.31201000000000001</v>
      </c>
      <c r="R217">
        <v>0.28138999999999997</v>
      </c>
      <c r="T217">
        <v>0.24992</v>
      </c>
    </row>
    <row r="218" spans="2:20" x14ac:dyDescent="0.3">
      <c r="B218">
        <v>0.38872000000000001</v>
      </c>
      <c r="D218">
        <v>0.38252999999999998</v>
      </c>
      <c r="F218">
        <v>0.37925999999999999</v>
      </c>
      <c r="H218">
        <v>0.37341000000000002</v>
      </c>
      <c r="J218">
        <v>0.35844999999999999</v>
      </c>
      <c r="L218">
        <v>0.34297</v>
      </c>
      <c r="N218">
        <v>0.32730999999999999</v>
      </c>
      <c r="P218">
        <v>0.31201000000000001</v>
      </c>
      <c r="R218">
        <v>0.28138999999999997</v>
      </c>
      <c r="T218">
        <v>0.24973999999999999</v>
      </c>
    </row>
    <row r="219" spans="2:20" x14ac:dyDescent="0.3">
      <c r="B219">
        <v>0.38890000000000002</v>
      </c>
      <c r="D219">
        <v>0.38252999999999998</v>
      </c>
      <c r="F219">
        <v>0.37942999999999999</v>
      </c>
      <c r="H219">
        <v>0.37341000000000002</v>
      </c>
      <c r="J219">
        <v>0.35844999999999999</v>
      </c>
      <c r="L219">
        <v>0.34297</v>
      </c>
      <c r="N219">
        <v>0.32749</v>
      </c>
      <c r="P219">
        <v>0.31184000000000001</v>
      </c>
      <c r="R219">
        <v>0.28122000000000003</v>
      </c>
      <c r="T219">
        <v>0.24973999999999999</v>
      </c>
    </row>
    <row r="220" spans="2:20" x14ac:dyDescent="0.3">
      <c r="B220">
        <v>0.38872000000000001</v>
      </c>
      <c r="D220">
        <v>0.38252999999999998</v>
      </c>
      <c r="F220">
        <v>0.37959999999999999</v>
      </c>
      <c r="H220">
        <v>0.37341000000000002</v>
      </c>
      <c r="J220">
        <v>0.35827999999999999</v>
      </c>
      <c r="L220">
        <v>0.34279999999999999</v>
      </c>
      <c r="N220">
        <v>0.32747999999999999</v>
      </c>
      <c r="P220">
        <v>0.31184000000000001</v>
      </c>
      <c r="R220">
        <v>0.28122000000000003</v>
      </c>
      <c r="T220">
        <v>0.24975</v>
      </c>
    </row>
    <row r="221" spans="2:20" x14ac:dyDescent="0.3">
      <c r="B221">
        <v>0.38872000000000001</v>
      </c>
      <c r="D221">
        <v>0.38252999999999998</v>
      </c>
      <c r="F221">
        <v>0.37959999999999999</v>
      </c>
      <c r="H221">
        <v>0.37341000000000002</v>
      </c>
      <c r="J221">
        <v>0.35810999999999998</v>
      </c>
      <c r="L221">
        <v>0.34279999999999999</v>
      </c>
      <c r="N221">
        <v>0.32766000000000001</v>
      </c>
      <c r="P221">
        <v>0.31165999999999999</v>
      </c>
      <c r="R221">
        <v>0.28105000000000002</v>
      </c>
      <c r="T221">
        <v>0.24956999999999999</v>
      </c>
    </row>
    <row r="222" spans="2:20" x14ac:dyDescent="0.3">
      <c r="B222">
        <v>0.38854</v>
      </c>
      <c r="D222">
        <v>0.38252999999999998</v>
      </c>
      <c r="F222">
        <v>0.37961</v>
      </c>
      <c r="H222">
        <v>0.37341000000000002</v>
      </c>
      <c r="J222">
        <v>0.35793000000000003</v>
      </c>
      <c r="L222">
        <v>0.34278999999999998</v>
      </c>
      <c r="N222">
        <v>0.32766000000000001</v>
      </c>
      <c r="P222">
        <v>0.31165999999999999</v>
      </c>
      <c r="R222">
        <v>0.28105000000000002</v>
      </c>
      <c r="T222">
        <v>0.24973999999999999</v>
      </c>
    </row>
    <row r="223" spans="2:20" x14ac:dyDescent="0.3">
      <c r="B223">
        <v>0.38872000000000001</v>
      </c>
      <c r="D223">
        <v>0.38252999999999998</v>
      </c>
      <c r="F223">
        <v>0.37944</v>
      </c>
      <c r="H223">
        <v>0.37341000000000002</v>
      </c>
      <c r="J223">
        <v>0.35793000000000003</v>
      </c>
      <c r="L223">
        <v>0.34297</v>
      </c>
      <c r="N223">
        <v>0.32766000000000001</v>
      </c>
      <c r="P223">
        <v>0.31165999999999999</v>
      </c>
      <c r="R223">
        <v>0.28105000000000002</v>
      </c>
      <c r="T223">
        <v>0.24973999999999999</v>
      </c>
    </row>
    <row r="224" spans="2:20" x14ac:dyDescent="0.3">
      <c r="B224">
        <v>0.38872000000000001</v>
      </c>
      <c r="D224">
        <v>0.38252999999999998</v>
      </c>
      <c r="F224">
        <v>0.37925999999999999</v>
      </c>
      <c r="H224">
        <v>0.37341000000000002</v>
      </c>
      <c r="J224">
        <v>0.35809999999999997</v>
      </c>
      <c r="L224">
        <v>0.34295999999999999</v>
      </c>
      <c r="N224">
        <v>0.32766000000000001</v>
      </c>
      <c r="P224">
        <v>0.31165999999999999</v>
      </c>
      <c r="R224">
        <v>0.28105000000000002</v>
      </c>
      <c r="T224">
        <v>0.24973999999999999</v>
      </c>
    </row>
    <row r="225" spans="2:20" x14ac:dyDescent="0.3">
      <c r="B225">
        <v>0.38872000000000001</v>
      </c>
      <c r="D225">
        <v>0.38252999999999998</v>
      </c>
      <c r="F225">
        <v>0.37925999999999999</v>
      </c>
      <c r="H225">
        <v>0.37341000000000002</v>
      </c>
      <c r="J225">
        <v>0.35826999999999998</v>
      </c>
      <c r="L225">
        <v>0.34314</v>
      </c>
      <c r="N225">
        <v>0.32749</v>
      </c>
      <c r="P225">
        <v>0.31184000000000001</v>
      </c>
      <c r="R225">
        <v>0.28105000000000002</v>
      </c>
      <c r="T225">
        <v>0.24973999999999999</v>
      </c>
    </row>
    <row r="226" spans="2:20" x14ac:dyDescent="0.3">
      <c r="B226">
        <v>0.38855000000000001</v>
      </c>
      <c r="D226">
        <v>0.38235999999999998</v>
      </c>
      <c r="F226">
        <v>0.37942999999999999</v>
      </c>
      <c r="H226">
        <v>0.37341000000000002</v>
      </c>
      <c r="J226">
        <v>0.35844999999999999</v>
      </c>
      <c r="L226">
        <v>0.34314</v>
      </c>
      <c r="N226">
        <v>0.32749</v>
      </c>
      <c r="P226">
        <v>0.31183</v>
      </c>
      <c r="R226">
        <v>0.28122000000000003</v>
      </c>
      <c r="T226">
        <v>0.24992</v>
      </c>
    </row>
    <row r="227" spans="2:20" x14ac:dyDescent="0.3">
      <c r="B227">
        <v>0.38855000000000001</v>
      </c>
      <c r="D227">
        <v>0.38235000000000002</v>
      </c>
      <c r="F227">
        <v>0.37959999999999999</v>
      </c>
      <c r="H227">
        <v>0.37341000000000002</v>
      </c>
      <c r="J227">
        <v>0.35844999999999999</v>
      </c>
      <c r="L227">
        <v>0.34314</v>
      </c>
      <c r="N227">
        <v>0.32732</v>
      </c>
      <c r="P227">
        <v>0.31201000000000001</v>
      </c>
      <c r="R227">
        <v>0.28122000000000003</v>
      </c>
      <c r="T227">
        <v>0.24992</v>
      </c>
    </row>
    <row r="228" spans="2:20" x14ac:dyDescent="0.3">
      <c r="B228">
        <v>0.38854</v>
      </c>
      <c r="D228">
        <v>0.38252999999999998</v>
      </c>
      <c r="F228">
        <v>0.37959999999999999</v>
      </c>
      <c r="H228">
        <v>0.37358000000000002</v>
      </c>
      <c r="J228">
        <v>0.35844999999999999</v>
      </c>
      <c r="L228">
        <v>0.34297</v>
      </c>
      <c r="N228">
        <v>0.32732</v>
      </c>
      <c r="P228">
        <v>0.31201000000000001</v>
      </c>
      <c r="R228">
        <v>0.28138999999999997</v>
      </c>
      <c r="T228">
        <v>0.24992</v>
      </c>
    </row>
    <row r="229" spans="2:20" x14ac:dyDescent="0.3">
      <c r="B229">
        <v>0.38872000000000001</v>
      </c>
      <c r="D229">
        <v>0.38252999999999998</v>
      </c>
      <c r="F229">
        <v>0.37961</v>
      </c>
      <c r="H229">
        <v>0.37358999999999998</v>
      </c>
      <c r="J229">
        <v>0.35827999999999999</v>
      </c>
      <c r="L229">
        <v>0.34297</v>
      </c>
      <c r="N229">
        <v>0.32730999999999999</v>
      </c>
      <c r="P229">
        <v>0.31201000000000001</v>
      </c>
      <c r="R229">
        <v>0.28138999999999997</v>
      </c>
      <c r="T229">
        <v>0.24992</v>
      </c>
    </row>
    <row r="230" spans="2:20" x14ac:dyDescent="0.3">
      <c r="B230">
        <v>0.38872000000000001</v>
      </c>
      <c r="D230">
        <v>0.38252999999999998</v>
      </c>
      <c r="F230">
        <v>0.37942999999999999</v>
      </c>
      <c r="H230">
        <v>0.37341000000000002</v>
      </c>
      <c r="J230">
        <v>0.35809999999999997</v>
      </c>
      <c r="L230">
        <v>0.34279999999999999</v>
      </c>
      <c r="N230">
        <v>0.32749</v>
      </c>
      <c r="P230">
        <v>0.31201000000000001</v>
      </c>
      <c r="R230">
        <v>0.28138999999999997</v>
      </c>
      <c r="T230">
        <v>0.24992</v>
      </c>
    </row>
    <row r="231" spans="2:20" x14ac:dyDescent="0.3">
      <c r="B231">
        <v>0.38872000000000001</v>
      </c>
      <c r="D231">
        <v>0.38235999999999998</v>
      </c>
      <c r="F231">
        <v>0.37944</v>
      </c>
      <c r="H231">
        <v>0.37341000000000002</v>
      </c>
      <c r="J231">
        <v>0.35810999999999998</v>
      </c>
      <c r="L231">
        <v>0.34279999999999999</v>
      </c>
      <c r="N231">
        <v>0.32749</v>
      </c>
      <c r="P231">
        <v>0.31201000000000001</v>
      </c>
      <c r="R231">
        <v>0.28138999999999997</v>
      </c>
      <c r="T231">
        <v>0.24992</v>
      </c>
    </row>
    <row r="232" spans="2:20" x14ac:dyDescent="0.3">
      <c r="B232">
        <v>0.38855000000000001</v>
      </c>
      <c r="D232">
        <v>0.38235999999999998</v>
      </c>
      <c r="F232">
        <v>0.37925999999999999</v>
      </c>
      <c r="H232">
        <v>0.37341000000000002</v>
      </c>
      <c r="J232">
        <v>0.35793000000000003</v>
      </c>
      <c r="L232">
        <v>0.34278999999999998</v>
      </c>
      <c r="N232">
        <v>0.32749</v>
      </c>
      <c r="P232">
        <v>0.31184000000000001</v>
      </c>
      <c r="R232">
        <v>0.28138999999999997</v>
      </c>
      <c r="T232">
        <v>0.24992</v>
      </c>
    </row>
    <row r="233" spans="2:20" x14ac:dyDescent="0.3">
      <c r="B233">
        <v>0.38854</v>
      </c>
      <c r="D233">
        <v>0.38235999999999998</v>
      </c>
      <c r="F233">
        <v>0.37942999999999999</v>
      </c>
      <c r="H233">
        <v>0.37341000000000002</v>
      </c>
      <c r="J233">
        <v>0.35809999999999997</v>
      </c>
      <c r="L233">
        <v>0.34295999999999999</v>
      </c>
      <c r="N233">
        <v>0.32747999999999999</v>
      </c>
      <c r="P233">
        <v>0.31184000000000001</v>
      </c>
      <c r="R233">
        <v>0.28122000000000003</v>
      </c>
      <c r="T233">
        <v>0.24973999999999999</v>
      </c>
    </row>
    <row r="234" spans="2:20" x14ac:dyDescent="0.3">
      <c r="B234">
        <v>0.38872000000000001</v>
      </c>
      <c r="D234">
        <v>0.38235000000000002</v>
      </c>
      <c r="F234">
        <v>0.37959999999999999</v>
      </c>
      <c r="H234">
        <v>0.37358000000000002</v>
      </c>
      <c r="J234">
        <v>0.35826999999999998</v>
      </c>
      <c r="L234">
        <v>0.34314</v>
      </c>
      <c r="N234">
        <v>0.32766000000000001</v>
      </c>
      <c r="P234">
        <v>0.31184000000000001</v>
      </c>
      <c r="R234">
        <v>0.28122000000000003</v>
      </c>
      <c r="T234">
        <v>0.24973999999999999</v>
      </c>
    </row>
    <row r="235" spans="2:20" x14ac:dyDescent="0.3">
      <c r="B235">
        <v>0.38889000000000001</v>
      </c>
      <c r="D235">
        <v>0.38252999999999998</v>
      </c>
      <c r="F235">
        <v>0.37959999999999999</v>
      </c>
      <c r="H235">
        <v>0.37358000000000002</v>
      </c>
      <c r="J235">
        <v>0.35844999999999999</v>
      </c>
      <c r="L235">
        <v>0.34314</v>
      </c>
      <c r="N235">
        <v>0.32749</v>
      </c>
      <c r="P235">
        <v>0.31184000000000001</v>
      </c>
      <c r="R235">
        <v>0.28105000000000002</v>
      </c>
      <c r="T235">
        <v>0.24975</v>
      </c>
    </row>
    <row r="236" spans="2:20" x14ac:dyDescent="0.3">
      <c r="B236">
        <v>0.38890000000000002</v>
      </c>
      <c r="D236">
        <v>0.38252999999999998</v>
      </c>
      <c r="F236">
        <v>0.37961</v>
      </c>
      <c r="H236">
        <v>0.37358999999999998</v>
      </c>
      <c r="J236">
        <v>0.35844999999999999</v>
      </c>
      <c r="L236">
        <v>0.34314</v>
      </c>
      <c r="N236">
        <v>0.32749</v>
      </c>
      <c r="P236">
        <v>0.31184000000000001</v>
      </c>
      <c r="R236">
        <v>0.28105000000000002</v>
      </c>
      <c r="T236">
        <v>0.24956999999999999</v>
      </c>
    </row>
    <row r="237" spans="2:20" x14ac:dyDescent="0.3">
      <c r="B237">
        <v>0.38872000000000001</v>
      </c>
      <c r="D237">
        <v>0.38252999999999998</v>
      </c>
      <c r="F237">
        <v>0.37944</v>
      </c>
      <c r="H237">
        <v>0.37341000000000002</v>
      </c>
      <c r="J237">
        <v>0.35844999999999999</v>
      </c>
      <c r="L237">
        <v>0.34314</v>
      </c>
      <c r="N237">
        <v>0.32749</v>
      </c>
      <c r="P237">
        <v>0.31183</v>
      </c>
      <c r="R237">
        <v>0.28105000000000002</v>
      </c>
      <c r="T237">
        <v>0.24956999999999999</v>
      </c>
    </row>
    <row r="238" spans="2:20" x14ac:dyDescent="0.3">
      <c r="B238">
        <v>0.38872000000000001</v>
      </c>
      <c r="D238">
        <v>0.38235000000000002</v>
      </c>
      <c r="F238">
        <v>0.37925999999999999</v>
      </c>
      <c r="H238">
        <v>0.37341000000000002</v>
      </c>
      <c r="J238">
        <v>0.35827999999999999</v>
      </c>
      <c r="L238">
        <v>0.34314</v>
      </c>
      <c r="N238">
        <v>0.32732</v>
      </c>
      <c r="P238">
        <v>0.31201000000000001</v>
      </c>
      <c r="R238">
        <v>0.28105000000000002</v>
      </c>
      <c r="T238">
        <v>0.24973999999999999</v>
      </c>
    </row>
    <row r="239" spans="2:20" x14ac:dyDescent="0.3">
      <c r="B239">
        <v>0.38872000000000001</v>
      </c>
      <c r="D239">
        <v>0.38252999999999998</v>
      </c>
      <c r="F239">
        <v>0.37942999999999999</v>
      </c>
      <c r="H239">
        <v>0.37341000000000002</v>
      </c>
      <c r="J239">
        <v>0.35810999999999998</v>
      </c>
      <c r="L239">
        <v>0.34297</v>
      </c>
      <c r="N239">
        <v>0.32732</v>
      </c>
      <c r="P239">
        <v>0.31201000000000001</v>
      </c>
      <c r="R239">
        <v>0.28105000000000002</v>
      </c>
      <c r="T239">
        <v>0.24973999999999999</v>
      </c>
    </row>
    <row r="240" spans="2:20" x14ac:dyDescent="0.3">
      <c r="B240">
        <v>0.39478000000000002</v>
      </c>
      <c r="D240">
        <v>0.38252999999999998</v>
      </c>
      <c r="F240">
        <v>0.37942999999999999</v>
      </c>
      <c r="H240">
        <v>0.37341000000000002</v>
      </c>
      <c r="J240">
        <v>0.35793000000000003</v>
      </c>
      <c r="L240">
        <v>0.34297</v>
      </c>
      <c r="N240">
        <v>0.32730999999999999</v>
      </c>
      <c r="P240">
        <v>0.31201000000000001</v>
      </c>
      <c r="R240">
        <v>0.28122000000000003</v>
      </c>
      <c r="T240">
        <v>0.24973999999999999</v>
      </c>
    </row>
    <row r="241" spans="4:20" x14ac:dyDescent="0.3">
      <c r="D241">
        <v>0.38252999999999998</v>
      </c>
      <c r="F241">
        <v>0.37959999999999999</v>
      </c>
      <c r="H241">
        <v>0.37341000000000002</v>
      </c>
      <c r="J241">
        <v>0.35793000000000003</v>
      </c>
      <c r="L241">
        <v>0.34279999999999999</v>
      </c>
      <c r="N241">
        <v>0.32749</v>
      </c>
      <c r="P241">
        <v>0.31201000000000001</v>
      </c>
      <c r="R241">
        <v>0.28122000000000003</v>
      </c>
      <c r="T241">
        <v>0.24992</v>
      </c>
    </row>
    <row r="242" spans="4:20" x14ac:dyDescent="0.3">
      <c r="D242">
        <v>0.38252999999999998</v>
      </c>
      <c r="F242">
        <v>0.37959999999999999</v>
      </c>
      <c r="H242">
        <v>0.37341000000000002</v>
      </c>
      <c r="J242">
        <v>0.35809999999999997</v>
      </c>
      <c r="L242">
        <v>0.34278999999999998</v>
      </c>
      <c r="N242">
        <v>0.32749</v>
      </c>
      <c r="P242">
        <v>0.31201000000000001</v>
      </c>
      <c r="R242">
        <v>0.28138999999999997</v>
      </c>
      <c r="T242">
        <v>0.24992</v>
      </c>
    </row>
    <row r="243" spans="4:20" x14ac:dyDescent="0.3">
      <c r="D243">
        <v>0.38252999999999998</v>
      </c>
      <c r="F243">
        <v>0.37961</v>
      </c>
      <c r="H243">
        <v>0.37358999999999998</v>
      </c>
      <c r="J243">
        <v>0.35826999999999998</v>
      </c>
      <c r="L243">
        <v>0.34297</v>
      </c>
      <c r="N243">
        <v>0.32747999999999999</v>
      </c>
      <c r="P243">
        <v>0.31201000000000001</v>
      </c>
      <c r="R243">
        <v>0.28138999999999997</v>
      </c>
      <c r="T243">
        <v>0.24992</v>
      </c>
    </row>
    <row r="244" spans="4:20" x14ac:dyDescent="0.3">
      <c r="D244">
        <v>0.38252999999999998</v>
      </c>
      <c r="F244">
        <v>0.37942999999999999</v>
      </c>
      <c r="H244">
        <v>0.37341000000000002</v>
      </c>
      <c r="J244">
        <v>0.35844999999999999</v>
      </c>
      <c r="L244">
        <v>0.34295999999999999</v>
      </c>
      <c r="N244">
        <v>0.32766000000000001</v>
      </c>
      <c r="P244">
        <v>0.31184000000000001</v>
      </c>
      <c r="R244">
        <v>0.28138999999999997</v>
      </c>
      <c r="T244">
        <v>0.24992</v>
      </c>
    </row>
    <row r="245" spans="4:20" x14ac:dyDescent="0.3">
      <c r="D245">
        <v>0.38235999999999998</v>
      </c>
      <c r="F245">
        <v>0.37942999999999999</v>
      </c>
      <c r="H245">
        <v>0.37341000000000002</v>
      </c>
      <c r="J245">
        <v>0.35844999999999999</v>
      </c>
      <c r="L245">
        <v>0.34314</v>
      </c>
      <c r="N245">
        <v>0.32766000000000001</v>
      </c>
      <c r="P245">
        <v>0.31184000000000001</v>
      </c>
      <c r="R245">
        <v>0.28138999999999997</v>
      </c>
      <c r="T245">
        <v>0.24992</v>
      </c>
    </row>
    <row r="246" spans="4:20" x14ac:dyDescent="0.3">
      <c r="D246">
        <v>0.38235000000000002</v>
      </c>
      <c r="F246">
        <v>0.37942999999999999</v>
      </c>
      <c r="H246">
        <v>0.37341000000000002</v>
      </c>
      <c r="J246">
        <v>0.35844999999999999</v>
      </c>
      <c r="L246">
        <v>0.34314</v>
      </c>
      <c r="N246">
        <v>0.32766000000000001</v>
      </c>
      <c r="P246">
        <v>0.31184000000000001</v>
      </c>
      <c r="R246">
        <v>0.28138999999999997</v>
      </c>
      <c r="T246">
        <v>0.24992</v>
      </c>
    </row>
    <row r="247" spans="4:20" x14ac:dyDescent="0.3">
      <c r="D247">
        <v>0.38252999999999998</v>
      </c>
      <c r="F247">
        <v>0.37959999999999999</v>
      </c>
      <c r="H247">
        <v>0.37341000000000002</v>
      </c>
      <c r="J247">
        <v>0.35827999999999999</v>
      </c>
      <c r="L247">
        <v>0.34314</v>
      </c>
      <c r="N247">
        <v>0.32749</v>
      </c>
      <c r="P247">
        <v>0.31184000000000001</v>
      </c>
      <c r="R247">
        <v>0.28122000000000003</v>
      </c>
      <c r="T247">
        <v>0.24992</v>
      </c>
    </row>
    <row r="248" spans="4:20" x14ac:dyDescent="0.3">
      <c r="D248">
        <v>0.38252999999999998</v>
      </c>
      <c r="F248">
        <v>0.37978000000000001</v>
      </c>
      <c r="H248">
        <v>0.37341000000000002</v>
      </c>
      <c r="J248">
        <v>0.35809999999999997</v>
      </c>
      <c r="L248">
        <v>0.34297</v>
      </c>
      <c r="N248">
        <v>0.32749</v>
      </c>
      <c r="P248">
        <v>0.31184000000000001</v>
      </c>
      <c r="R248">
        <v>0.28122000000000003</v>
      </c>
      <c r="T248">
        <v>0.24992</v>
      </c>
    </row>
    <row r="249" spans="4:20" x14ac:dyDescent="0.3">
      <c r="D249">
        <v>0.38252999999999998</v>
      </c>
      <c r="F249">
        <v>0.37978000000000001</v>
      </c>
      <c r="H249">
        <v>0.37341000000000002</v>
      </c>
      <c r="J249">
        <v>0.35809999999999997</v>
      </c>
      <c r="L249">
        <v>0.34297</v>
      </c>
      <c r="N249">
        <v>0.32749</v>
      </c>
      <c r="P249">
        <v>0.31183</v>
      </c>
      <c r="R249">
        <v>0.28105000000000002</v>
      </c>
      <c r="T249">
        <v>0.24973999999999999</v>
      </c>
    </row>
    <row r="250" spans="4:20" x14ac:dyDescent="0.3">
      <c r="D250">
        <v>0.38252999999999998</v>
      </c>
      <c r="F250">
        <v>0.37961</v>
      </c>
      <c r="H250">
        <v>0.37341000000000002</v>
      </c>
      <c r="J250">
        <v>0.35809999999999997</v>
      </c>
      <c r="L250">
        <v>0.34279999999999999</v>
      </c>
      <c r="N250">
        <v>0.32732</v>
      </c>
      <c r="P250">
        <v>0.31201000000000001</v>
      </c>
      <c r="R250">
        <v>0.28105000000000002</v>
      </c>
      <c r="T250">
        <v>0.24975</v>
      </c>
    </row>
    <row r="251" spans="4:20" x14ac:dyDescent="0.3">
      <c r="D251">
        <v>0.38235999999999998</v>
      </c>
      <c r="F251">
        <v>0.37942999999999999</v>
      </c>
      <c r="H251">
        <v>0.37341000000000002</v>
      </c>
      <c r="J251">
        <v>0.35809999999999997</v>
      </c>
      <c r="L251">
        <v>0.34279999999999999</v>
      </c>
      <c r="N251">
        <v>0.32732</v>
      </c>
      <c r="P251">
        <v>0.312</v>
      </c>
      <c r="R251">
        <v>0.28105000000000002</v>
      </c>
      <c r="T251">
        <v>0.24956999999999999</v>
      </c>
    </row>
    <row r="252" spans="4:20" x14ac:dyDescent="0.3">
      <c r="D252">
        <v>0.38235000000000002</v>
      </c>
      <c r="F252">
        <v>0.37942999999999999</v>
      </c>
      <c r="H252">
        <v>0.37341000000000002</v>
      </c>
      <c r="J252">
        <v>0.35844999999999999</v>
      </c>
      <c r="L252">
        <v>0.34278999999999998</v>
      </c>
      <c r="N252">
        <v>0.32730999999999999</v>
      </c>
      <c r="P252">
        <v>0.31218000000000001</v>
      </c>
      <c r="R252">
        <v>0.28105000000000002</v>
      </c>
      <c r="T252">
        <v>0.24956999999999999</v>
      </c>
    </row>
    <row r="253" spans="4:20" x14ac:dyDescent="0.3">
      <c r="D253">
        <v>0.38252999999999998</v>
      </c>
      <c r="F253">
        <v>0.37942999999999999</v>
      </c>
      <c r="H253">
        <v>0.37341000000000002</v>
      </c>
      <c r="J253">
        <v>0.35844999999999999</v>
      </c>
      <c r="L253">
        <v>0.34297</v>
      </c>
      <c r="N253">
        <v>0.32749</v>
      </c>
      <c r="P253">
        <v>0.31218000000000001</v>
      </c>
      <c r="R253">
        <v>0.28105000000000002</v>
      </c>
      <c r="T253">
        <v>0.24956999999999999</v>
      </c>
    </row>
    <row r="254" spans="4:20" x14ac:dyDescent="0.3">
      <c r="D254">
        <v>0.38252999999999998</v>
      </c>
      <c r="F254">
        <v>0.37959999999999999</v>
      </c>
      <c r="H254">
        <v>0.37341000000000002</v>
      </c>
      <c r="J254">
        <v>0.35844999999999999</v>
      </c>
      <c r="L254">
        <v>0.34295999999999999</v>
      </c>
      <c r="N254">
        <v>0.32749</v>
      </c>
      <c r="P254">
        <v>0.31218000000000001</v>
      </c>
      <c r="R254">
        <v>0.28122000000000003</v>
      </c>
      <c r="T254">
        <v>0.24956999999999999</v>
      </c>
    </row>
    <row r="255" spans="4:20" x14ac:dyDescent="0.3">
      <c r="D255">
        <v>0.38252999999999998</v>
      </c>
      <c r="F255">
        <v>0.37978000000000001</v>
      </c>
      <c r="H255">
        <v>0.37341000000000002</v>
      </c>
      <c r="J255">
        <v>0.35844999999999999</v>
      </c>
      <c r="L255">
        <v>0.34314</v>
      </c>
      <c r="N255">
        <v>0.32747999999999999</v>
      </c>
      <c r="P255">
        <v>0.31218000000000001</v>
      </c>
      <c r="R255">
        <v>0.28122000000000003</v>
      </c>
      <c r="T255">
        <v>0.24973999999999999</v>
      </c>
    </row>
    <row r="256" spans="4:20" x14ac:dyDescent="0.3">
      <c r="D256">
        <v>0.38252999999999998</v>
      </c>
      <c r="F256">
        <v>0.37959999999999999</v>
      </c>
      <c r="H256">
        <v>0.37341000000000002</v>
      </c>
      <c r="J256">
        <v>0.35827999999999999</v>
      </c>
      <c r="L256">
        <v>0.34314</v>
      </c>
      <c r="N256">
        <v>0.32766000000000001</v>
      </c>
      <c r="P256">
        <v>0.31201000000000001</v>
      </c>
      <c r="R256">
        <v>0.28122000000000003</v>
      </c>
      <c r="T256">
        <v>0.24973999999999999</v>
      </c>
    </row>
    <row r="257" spans="4:20" x14ac:dyDescent="0.3">
      <c r="D257">
        <v>0.38252999999999998</v>
      </c>
      <c r="F257">
        <v>0.37961</v>
      </c>
      <c r="H257">
        <v>0.37341000000000002</v>
      </c>
      <c r="J257">
        <v>0.35810999999999998</v>
      </c>
      <c r="L257">
        <v>0.34314</v>
      </c>
      <c r="N257">
        <v>0.32766000000000001</v>
      </c>
      <c r="P257">
        <v>0.31201000000000001</v>
      </c>
      <c r="R257">
        <v>0.28138999999999997</v>
      </c>
      <c r="T257">
        <v>0.24992</v>
      </c>
    </row>
    <row r="258" spans="4:20" x14ac:dyDescent="0.3">
      <c r="D258">
        <v>0.38252999999999998</v>
      </c>
      <c r="F258">
        <v>0.37942999999999999</v>
      </c>
      <c r="H258">
        <v>0.37341000000000002</v>
      </c>
      <c r="J258">
        <v>0.35793000000000003</v>
      </c>
      <c r="L258">
        <v>0.34314</v>
      </c>
      <c r="N258">
        <v>0.32749</v>
      </c>
      <c r="P258">
        <v>0.31201000000000001</v>
      </c>
      <c r="R258">
        <v>0.28138999999999997</v>
      </c>
      <c r="T258">
        <v>0.24992</v>
      </c>
    </row>
    <row r="259" spans="4:20" x14ac:dyDescent="0.3">
      <c r="D259">
        <v>0.38252999999999998</v>
      </c>
      <c r="F259">
        <v>0.37942999999999999</v>
      </c>
      <c r="H259">
        <v>0.37341000000000002</v>
      </c>
      <c r="J259">
        <v>0.35809999999999997</v>
      </c>
      <c r="L259">
        <v>0.34297</v>
      </c>
      <c r="N259">
        <v>0.32749</v>
      </c>
      <c r="P259">
        <v>0.31201000000000001</v>
      </c>
      <c r="R259">
        <v>0.28138999999999997</v>
      </c>
      <c r="T259">
        <v>0.24992</v>
      </c>
    </row>
    <row r="260" spans="4:20" x14ac:dyDescent="0.3">
      <c r="D260">
        <v>0.38252999999999998</v>
      </c>
      <c r="F260">
        <v>0.37959999999999999</v>
      </c>
      <c r="H260">
        <v>0.37341000000000002</v>
      </c>
      <c r="J260">
        <v>0.35809999999999997</v>
      </c>
      <c r="L260">
        <v>0.34297</v>
      </c>
      <c r="N260">
        <v>0.32749</v>
      </c>
      <c r="P260">
        <v>0.31201000000000001</v>
      </c>
      <c r="R260">
        <v>0.28138999999999997</v>
      </c>
      <c r="T260">
        <v>0.24992</v>
      </c>
    </row>
    <row r="261" spans="4:20" x14ac:dyDescent="0.3">
      <c r="D261">
        <v>0.38252999999999998</v>
      </c>
      <c r="F261">
        <v>0.38527</v>
      </c>
      <c r="H261">
        <v>0.37341000000000002</v>
      </c>
      <c r="J261">
        <v>0.35826999999999998</v>
      </c>
      <c r="L261">
        <v>0.34279999999999999</v>
      </c>
      <c r="N261">
        <v>0.32749</v>
      </c>
      <c r="P261">
        <v>0.31201000000000001</v>
      </c>
      <c r="R261">
        <v>0.28122000000000003</v>
      </c>
      <c r="T261">
        <v>0.24992</v>
      </c>
    </row>
    <row r="262" spans="4:20" x14ac:dyDescent="0.3">
      <c r="D262">
        <v>0.38252999999999998</v>
      </c>
      <c r="H262">
        <v>0.37341000000000002</v>
      </c>
      <c r="J262">
        <v>0.35844999999999999</v>
      </c>
      <c r="L262">
        <v>0.34278999999999998</v>
      </c>
      <c r="N262">
        <v>0.32730999999999999</v>
      </c>
      <c r="P262">
        <v>0.312</v>
      </c>
      <c r="R262">
        <v>0.28122000000000003</v>
      </c>
      <c r="T262">
        <v>0.24992</v>
      </c>
    </row>
    <row r="263" spans="4:20" x14ac:dyDescent="0.3">
      <c r="D263">
        <v>0.38252999999999998</v>
      </c>
      <c r="H263">
        <v>0.37341000000000002</v>
      </c>
      <c r="J263">
        <v>0.35844999999999999</v>
      </c>
      <c r="L263">
        <v>0.34297</v>
      </c>
      <c r="N263">
        <v>0.32749</v>
      </c>
      <c r="P263">
        <v>0.31218000000000001</v>
      </c>
      <c r="R263">
        <v>0.28105000000000002</v>
      </c>
      <c r="T263">
        <v>0.24992</v>
      </c>
    </row>
    <row r="264" spans="4:20" x14ac:dyDescent="0.3">
      <c r="D264">
        <v>0.38252999999999998</v>
      </c>
      <c r="H264">
        <v>0.37358000000000002</v>
      </c>
      <c r="J264">
        <v>0.35844999999999999</v>
      </c>
      <c r="L264">
        <v>0.34295999999999999</v>
      </c>
      <c r="N264">
        <v>0.32749</v>
      </c>
      <c r="P264">
        <v>0.31218000000000001</v>
      </c>
      <c r="R264">
        <v>0.28105000000000002</v>
      </c>
      <c r="T264">
        <v>0.24973999999999999</v>
      </c>
    </row>
    <row r="265" spans="4:20" x14ac:dyDescent="0.3">
      <c r="D265">
        <v>0.38252999999999998</v>
      </c>
      <c r="H265">
        <v>0.37358999999999998</v>
      </c>
      <c r="J265">
        <v>0.35827999999999999</v>
      </c>
      <c r="L265">
        <v>0.34314</v>
      </c>
      <c r="N265">
        <v>0.32747999999999999</v>
      </c>
      <c r="P265">
        <v>0.31218000000000001</v>
      </c>
      <c r="R265">
        <v>0.28105000000000002</v>
      </c>
      <c r="T265">
        <v>0.24973999999999999</v>
      </c>
    </row>
    <row r="266" spans="4:20" x14ac:dyDescent="0.3">
      <c r="D266">
        <v>0.38252999999999998</v>
      </c>
      <c r="H266">
        <v>0.37341000000000002</v>
      </c>
      <c r="J266">
        <v>0.35809999999999997</v>
      </c>
      <c r="L266">
        <v>0.34314</v>
      </c>
      <c r="N266">
        <v>0.32766000000000001</v>
      </c>
      <c r="P266">
        <v>0.31218000000000001</v>
      </c>
      <c r="R266">
        <v>0.28105000000000002</v>
      </c>
      <c r="T266">
        <v>0.24973999999999999</v>
      </c>
    </row>
    <row r="267" spans="4:20" x14ac:dyDescent="0.3">
      <c r="D267">
        <v>0.38252999999999998</v>
      </c>
      <c r="H267">
        <v>0.37341000000000002</v>
      </c>
      <c r="J267">
        <v>0.35809999999999997</v>
      </c>
      <c r="L267">
        <v>0.34314</v>
      </c>
      <c r="N267">
        <v>0.32766000000000001</v>
      </c>
      <c r="P267">
        <v>0.31218000000000001</v>
      </c>
      <c r="R267">
        <v>0.28105000000000002</v>
      </c>
      <c r="T267">
        <v>0.24975</v>
      </c>
    </row>
    <row r="268" spans="4:20" x14ac:dyDescent="0.3">
      <c r="D268">
        <v>0.38252999999999998</v>
      </c>
      <c r="H268">
        <v>0.37341000000000002</v>
      </c>
      <c r="J268">
        <v>0.35809999999999997</v>
      </c>
      <c r="L268">
        <v>0.34314</v>
      </c>
      <c r="N268">
        <v>0.32766000000000001</v>
      </c>
      <c r="P268">
        <v>0.31218000000000001</v>
      </c>
      <c r="R268">
        <v>0.28122000000000003</v>
      </c>
      <c r="T268">
        <v>0.24956999999999999</v>
      </c>
    </row>
    <row r="269" spans="4:20" x14ac:dyDescent="0.3">
      <c r="D269">
        <v>0.38252999999999998</v>
      </c>
      <c r="H269">
        <v>0.37341000000000002</v>
      </c>
      <c r="J269">
        <v>0.35826999999999998</v>
      </c>
      <c r="L269">
        <v>0.34297</v>
      </c>
      <c r="N269">
        <v>0.32766000000000001</v>
      </c>
      <c r="P269">
        <v>0.31201000000000001</v>
      </c>
      <c r="R269">
        <v>0.28122000000000003</v>
      </c>
      <c r="T269">
        <v>0.24956999999999999</v>
      </c>
    </row>
    <row r="270" spans="4:20" x14ac:dyDescent="0.3">
      <c r="D270">
        <v>0.38252999999999998</v>
      </c>
      <c r="H270">
        <v>0.37341000000000002</v>
      </c>
      <c r="J270">
        <v>0.35843999999999998</v>
      </c>
      <c r="L270">
        <v>0.34297</v>
      </c>
      <c r="N270">
        <v>0.32766000000000001</v>
      </c>
      <c r="P270">
        <v>0.31201000000000001</v>
      </c>
      <c r="R270">
        <v>0.28138999999999997</v>
      </c>
      <c r="T270">
        <v>0.24973999999999999</v>
      </c>
    </row>
    <row r="271" spans="4:20" x14ac:dyDescent="0.3">
      <c r="D271">
        <v>0.38252999999999998</v>
      </c>
      <c r="H271">
        <v>0.37358000000000002</v>
      </c>
      <c r="J271">
        <v>0.35861999999999999</v>
      </c>
      <c r="L271">
        <v>0.34279999999999999</v>
      </c>
      <c r="N271">
        <v>0.32749</v>
      </c>
      <c r="P271">
        <v>0.31201000000000001</v>
      </c>
      <c r="R271">
        <v>0.28138999999999997</v>
      </c>
      <c r="T271">
        <v>0.24973999999999999</v>
      </c>
    </row>
    <row r="272" spans="4:20" x14ac:dyDescent="0.3">
      <c r="D272">
        <v>0.38252999999999998</v>
      </c>
      <c r="H272">
        <v>0.37358999999999998</v>
      </c>
      <c r="J272">
        <v>0.35861999999999999</v>
      </c>
      <c r="L272">
        <v>0.34278999999999998</v>
      </c>
      <c r="N272">
        <v>0.32749</v>
      </c>
      <c r="P272">
        <v>0.31201000000000001</v>
      </c>
      <c r="R272">
        <v>0.28138999999999997</v>
      </c>
      <c r="T272">
        <v>0.24973999999999999</v>
      </c>
    </row>
    <row r="273" spans="4:20" x14ac:dyDescent="0.3">
      <c r="D273">
        <v>0.38252999999999998</v>
      </c>
      <c r="H273">
        <v>0.37341000000000002</v>
      </c>
      <c r="J273">
        <v>0.35844999999999999</v>
      </c>
      <c r="L273">
        <v>0.34297</v>
      </c>
      <c r="N273">
        <v>0.32749</v>
      </c>
      <c r="P273">
        <v>0.31201000000000001</v>
      </c>
      <c r="R273">
        <v>0.28138999999999997</v>
      </c>
      <c r="T273">
        <v>0.24992</v>
      </c>
    </row>
    <row r="274" spans="4:20" x14ac:dyDescent="0.3">
      <c r="D274">
        <v>0.38252999999999998</v>
      </c>
      <c r="H274">
        <v>0.37341000000000002</v>
      </c>
      <c r="J274">
        <v>0.35827999999999999</v>
      </c>
      <c r="L274">
        <v>0.34295999999999999</v>
      </c>
      <c r="N274">
        <v>0.32749</v>
      </c>
      <c r="P274">
        <v>0.312</v>
      </c>
      <c r="R274">
        <v>0.28138999999999997</v>
      </c>
      <c r="T274">
        <v>0.24992</v>
      </c>
    </row>
    <row r="275" spans="4:20" x14ac:dyDescent="0.3">
      <c r="D275">
        <v>0.38252999999999998</v>
      </c>
      <c r="H275">
        <v>0.37341000000000002</v>
      </c>
      <c r="J275">
        <v>0.35809999999999997</v>
      </c>
      <c r="L275">
        <v>0.34314</v>
      </c>
      <c r="N275">
        <v>0.32749</v>
      </c>
      <c r="P275">
        <v>0.31218000000000001</v>
      </c>
      <c r="R275">
        <v>0.28138999999999997</v>
      </c>
      <c r="T275">
        <v>0.24992</v>
      </c>
    </row>
    <row r="276" spans="4:20" x14ac:dyDescent="0.3">
      <c r="D276">
        <v>0.38252999999999998</v>
      </c>
      <c r="H276">
        <v>0.37341000000000002</v>
      </c>
      <c r="J276">
        <v>0.35809999999999997</v>
      </c>
      <c r="L276">
        <v>0.34314</v>
      </c>
      <c r="N276">
        <v>0.32747999999999999</v>
      </c>
      <c r="P276">
        <v>0.31218000000000001</v>
      </c>
      <c r="R276">
        <v>0.28122000000000003</v>
      </c>
      <c r="T276">
        <v>0.24992</v>
      </c>
    </row>
    <row r="277" spans="4:20" x14ac:dyDescent="0.3">
      <c r="D277">
        <v>0.38252999999999998</v>
      </c>
      <c r="H277">
        <v>0.37341000000000002</v>
      </c>
      <c r="J277">
        <v>0.35809999999999997</v>
      </c>
      <c r="L277">
        <v>0.34314</v>
      </c>
      <c r="N277">
        <v>0.32766000000000001</v>
      </c>
      <c r="P277">
        <v>0.31577</v>
      </c>
      <c r="R277">
        <v>0.28122000000000003</v>
      </c>
      <c r="T277">
        <v>0.24992</v>
      </c>
    </row>
    <row r="278" spans="4:20" x14ac:dyDescent="0.3">
      <c r="D278">
        <v>0.38252000000000003</v>
      </c>
      <c r="H278">
        <v>0.37341000000000002</v>
      </c>
      <c r="J278">
        <v>0.35826999999999998</v>
      </c>
      <c r="L278">
        <v>0.34314</v>
      </c>
      <c r="N278">
        <v>0.32766000000000001</v>
      </c>
      <c r="R278">
        <v>0.28122000000000003</v>
      </c>
      <c r="T278">
        <v>0.24992</v>
      </c>
    </row>
    <row r="279" spans="4:20" x14ac:dyDescent="0.3">
      <c r="D279">
        <v>0.38269999999999998</v>
      </c>
      <c r="H279">
        <v>0.37358000000000002</v>
      </c>
      <c r="J279">
        <v>0.35844999999999999</v>
      </c>
      <c r="L279">
        <v>0.34738999999999998</v>
      </c>
      <c r="N279">
        <v>0.32766000000000001</v>
      </c>
      <c r="R279">
        <v>0.28105000000000002</v>
      </c>
      <c r="T279">
        <v>0.24992</v>
      </c>
    </row>
    <row r="280" spans="4:20" x14ac:dyDescent="0.3">
      <c r="D280">
        <v>0.38269999999999998</v>
      </c>
      <c r="H280">
        <v>0.37358999999999998</v>
      </c>
      <c r="J280">
        <v>0.35844999999999999</v>
      </c>
      <c r="N280">
        <v>0.32766000000000001</v>
      </c>
      <c r="R280">
        <v>0.28105000000000002</v>
      </c>
      <c r="T280">
        <v>0.24973999999999999</v>
      </c>
    </row>
    <row r="281" spans="4:20" x14ac:dyDescent="0.3">
      <c r="D281">
        <v>0.38269999999999998</v>
      </c>
      <c r="H281">
        <v>0.37341000000000002</v>
      </c>
      <c r="J281">
        <v>0.35844999999999999</v>
      </c>
      <c r="N281">
        <v>0.32749</v>
      </c>
      <c r="R281">
        <v>0.28105000000000002</v>
      </c>
      <c r="T281">
        <v>0.24975</v>
      </c>
    </row>
    <row r="282" spans="4:20" x14ac:dyDescent="0.3">
      <c r="D282">
        <v>0.38252999999999998</v>
      </c>
      <c r="H282">
        <v>0.37341000000000002</v>
      </c>
      <c r="J282">
        <v>0.35844999999999999</v>
      </c>
      <c r="N282">
        <v>0.32749</v>
      </c>
      <c r="R282">
        <v>0.28122000000000003</v>
      </c>
      <c r="T282">
        <v>0.24956999999999999</v>
      </c>
    </row>
    <row r="283" spans="4:20" x14ac:dyDescent="0.3">
      <c r="D283">
        <v>0.38252999999999998</v>
      </c>
      <c r="H283">
        <v>0.37341000000000002</v>
      </c>
      <c r="J283">
        <v>0.36323</v>
      </c>
      <c r="N283">
        <v>0.32749</v>
      </c>
      <c r="R283">
        <v>0.28122000000000003</v>
      </c>
      <c r="T283">
        <v>0.24956999999999999</v>
      </c>
    </row>
    <row r="284" spans="4:20" x14ac:dyDescent="0.3">
      <c r="D284">
        <v>0.38252999999999998</v>
      </c>
      <c r="H284">
        <v>0.37890000000000001</v>
      </c>
      <c r="N284">
        <v>0.32732</v>
      </c>
      <c r="R284">
        <v>0.28138999999999997</v>
      </c>
      <c r="T284">
        <v>0.24956999999999999</v>
      </c>
    </row>
    <row r="285" spans="4:20" x14ac:dyDescent="0.3">
      <c r="D285">
        <v>0.38252999999999998</v>
      </c>
      <c r="N285">
        <v>0.32730999999999999</v>
      </c>
      <c r="R285">
        <v>0.28138999999999997</v>
      </c>
      <c r="T285">
        <v>0.24956999999999999</v>
      </c>
    </row>
    <row r="286" spans="4:20" x14ac:dyDescent="0.3">
      <c r="D286">
        <v>0.38252999999999998</v>
      </c>
      <c r="N286">
        <v>0.32749</v>
      </c>
      <c r="R286">
        <v>0.28138999999999997</v>
      </c>
      <c r="T286">
        <v>0.24973999999999999</v>
      </c>
    </row>
    <row r="287" spans="4:20" x14ac:dyDescent="0.3">
      <c r="D287">
        <v>0.38252999999999998</v>
      </c>
      <c r="N287">
        <v>0.32749</v>
      </c>
      <c r="R287">
        <v>0.28138999999999997</v>
      </c>
      <c r="T287">
        <v>0.24973999999999999</v>
      </c>
    </row>
    <row r="288" spans="4:20" x14ac:dyDescent="0.3">
      <c r="D288">
        <v>0.38252999999999998</v>
      </c>
      <c r="N288">
        <v>0.32747999999999999</v>
      </c>
      <c r="R288">
        <v>0.28138999999999997</v>
      </c>
      <c r="T288">
        <v>0.24973999999999999</v>
      </c>
    </row>
    <row r="289" spans="4:20" x14ac:dyDescent="0.3">
      <c r="D289">
        <v>0.38252999999999998</v>
      </c>
      <c r="N289">
        <v>0.32780999999999999</v>
      </c>
      <c r="R289">
        <v>0.28138999999999997</v>
      </c>
      <c r="T289">
        <v>0.24992</v>
      </c>
    </row>
    <row r="290" spans="4:20" x14ac:dyDescent="0.3">
      <c r="D290">
        <v>0.38252999999999998</v>
      </c>
      <c r="N290">
        <v>0.32322000000000001</v>
      </c>
      <c r="R290">
        <v>0.28122000000000003</v>
      </c>
      <c r="T290">
        <v>0.24992</v>
      </c>
    </row>
    <row r="291" spans="4:20" x14ac:dyDescent="0.3">
      <c r="D291">
        <v>0.38252999999999998</v>
      </c>
      <c r="R291">
        <v>0.28122000000000003</v>
      </c>
      <c r="T291">
        <v>0.24992</v>
      </c>
    </row>
    <row r="292" spans="4:20" x14ac:dyDescent="0.3">
      <c r="D292">
        <v>0.38252999999999998</v>
      </c>
      <c r="R292">
        <v>0.28105000000000002</v>
      </c>
      <c r="T292">
        <v>0.24992</v>
      </c>
    </row>
    <row r="293" spans="4:20" x14ac:dyDescent="0.3">
      <c r="D293">
        <v>0.38838</v>
      </c>
      <c r="R293">
        <v>0.28105000000000002</v>
      </c>
      <c r="T293">
        <v>0.24992</v>
      </c>
    </row>
    <row r="294" spans="4:20" x14ac:dyDescent="0.3">
      <c r="R294">
        <v>0.28105000000000002</v>
      </c>
      <c r="T294">
        <v>0.24992</v>
      </c>
    </row>
    <row r="295" spans="4:20" x14ac:dyDescent="0.3">
      <c r="R295">
        <v>0.28105000000000002</v>
      </c>
      <c r="T295">
        <v>0.24973999999999999</v>
      </c>
    </row>
    <row r="296" spans="4:20" x14ac:dyDescent="0.3">
      <c r="R296">
        <v>0.28122000000000003</v>
      </c>
      <c r="T296">
        <v>0.24973999999999999</v>
      </c>
    </row>
    <row r="297" spans="4:20" x14ac:dyDescent="0.3">
      <c r="R297">
        <v>0.28122000000000003</v>
      </c>
    </row>
    <row r="298" spans="4:20" x14ac:dyDescent="0.3">
      <c r="R298">
        <v>0.28138999999999997</v>
      </c>
    </row>
    <row r="299" spans="4:20" x14ac:dyDescent="0.3">
      <c r="R299">
        <v>0.28138999999999997</v>
      </c>
    </row>
    <row r="300" spans="4:20" x14ac:dyDescent="0.3">
      <c r="R300">
        <v>0.28138999999999997</v>
      </c>
    </row>
    <row r="301" spans="4:20" x14ac:dyDescent="0.3">
      <c r="R301">
        <v>0.28138999999999997</v>
      </c>
    </row>
    <row r="302" spans="4:20" x14ac:dyDescent="0.3">
      <c r="R302">
        <v>0.28138999999999997</v>
      </c>
    </row>
    <row r="303" spans="4:20" x14ac:dyDescent="0.3">
      <c r="R303">
        <v>0.28138999999999997</v>
      </c>
    </row>
    <row r="304" spans="4:20" x14ac:dyDescent="0.3">
      <c r="R304">
        <v>0.28122000000000003</v>
      </c>
    </row>
    <row r="305" spans="18:18" x14ac:dyDescent="0.3">
      <c r="R305">
        <v>0.28122000000000003</v>
      </c>
    </row>
    <row r="306" spans="18:18" x14ac:dyDescent="0.3">
      <c r="R306">
        <v>0.28105000000000002</v>
      </c>
    </row>
    <row r="307" spans="18:18" x14ac:dyDescent="0.3">
      <c r="R307">
        <v>0.28105000000000002</v>
      </c>
    </row>
    <row r="308" spans="18:18" x14ac:dyDescent="0.3">
      <c r="R308">
        <v>0.28105000000000002</v>
      </c>
    </row>
    <row r="309" spans="18:18" x14ac:dyDescent="0.3">
      <c r="R309">
        <v>0.28355000000000002</v>
      </c>
    </row>
    <row r="310" spans="18:18" x14ac:dyDescent="0.3">
      <c r="R310">
        <v>0.28355000000000002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CD93-29C3-4415-9BD2-C8776B90841E}">
  <dimension ref="B1:H14"/>
  <sheetViews>
    <sheetView tabSelected="1" workbookViewId="0">
      <selection activeCell="F13" sqref="F13"/>
    </sheetView>
  </sheetViews>
  <sheetFormatPr defaultRowHeight="14.4" x14ac:dyDescent="0.3"/>
  <sheetData>
    <row r="1" spans="2:8" x14ac:dyDescent="0.3">
      <c r="B1" t="s">
        <v>39</v>
      </c>
      <c r="C1">
        <f>7.338</f>
        <v>7.3380000000000001</v>
      </c>
      <c r="E1" t="s">
        <v>48</v>
      </c>
    </row>
    <row r="2" spans="2:8" x14ac:dyDescent="0.3">
      <c r="B2" t="s">
        <v>38</v>
      </c>
      <c r="C2">
        <f>2*PI()/C1</f>
        <v>0.85625310809206678</v>
      </c>
      <c r="G2" t="s">
        <v>42</v>
      </c>
    </row>
    <row r="3" spans="2:8" x14ac:dyDescent="0.3">
      <c r="B3" t="s">
        <v>41</v>
      </c>
      <c r="C3">
        <f>C2^2</f>
        <v>0.73316938511732466</v>
      </c>
      <c r="D3" t="s">
        <v>40</v>
      </c>
    </row>
    <row r="5" spans="2:8" x14ac:dyDescent="0.3">
      <c r="B5" t="s">
        <v>43</v>
      </c>
      <c r="C5">
        <f>90+500</f>
        <v>590</v>
      </c>
      <c r="F5" t="s">
        <v>45</v>
      </c>
      <c r="G5">
        <f>C3/C6</f>
        <v>1.2426599747751266</v>
      </c>
      <c r="H5" t="s">
        <v>46</v>
      </c>
    </row>
    <row r="6" spans="2:8" x14ac:dyDescent="0.3">
      <c r="B6" t="s">
        <v>44</v>
      </c>
      <c r="C6">
        <f>C5/1000</f>
        <v>0.59</v>
      </c>
    </row>
    <row r="7" spans="2:8" x14ac:dyDescent="0.3">
      <c r="F7" t="s">
        <v>47</v>
      </c>
      <c r="G7">
        <f>(2*PI())^2/G5</f>
        <v>31.769283959999999</v>
      </c>
    </row>
    <row r="10" spans="2:8" x14ac:dyDescent="0.3">
      <c r="B10" t="s">
        <v>49</v>
      </c>
    </row>
    <row r="11" spans="2:8" x14ac:dyDescent="0.3">
      <c r="B11" t="s">
        <v>50</v>
      </c>
      <c r="C11">
        <f>(C5+11.32/3)/1000</f>
        <v>0.59377333333333326</v>
      </c>
      <c r="E11" t="s">
        <v>51</v>
      </c>
    </row>
    <row r="12" spans="2:8" x14ac:dyDescent="0.3">
      <c r="B12" t="s">
        <v>45</v>
      </c>
      <c r="C12">
        <f>C14/C11</f>
        <v>1.2347630719645961</v>
      </c>
      <c r="E12">
        <f>(2*PI())^2/C12</f>
        <v>31.972463787359995</v>
      </c>
    </row>
    <row r="14" spans="2:8" x14ac:dyDescent="0.3">
      <c r="C14">
        <v>0.73316938511732466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Molla 1</vt:lpstr>
      <vt:lpstr>Molla 2</vt:lpstr>
      <vt:lpstr>Parallelo 1-2</vt:lpstr>
      <vt:lpstr>dinamica molla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Alessio Martini</cp:lastModifiedBy>
  <cp:revision/>
  <dcterms:created xsi:type="dcterms:W3CDTF">2021-05-07T12:26:05Z</dcterms:created>
  <dcterms:modified xsi:type="dcterms:W3CDTF">2021-05-07T16:33:11Z</dcterms:modified>
  <cp:category/>
  <cp:contentStatus/>
</cp:coreProperties>
</file>