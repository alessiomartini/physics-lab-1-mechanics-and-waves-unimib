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mibit-my.sharepoint.com/personal/a_martini25_campus_unimib_it/Documents/"/>
    </mc:Choice>
  </mc:AlternateContent>
  <xr:revisionPtr revIDLastSave="347" documentId="11_AB0A336774C267201C0E4FAEF520B011C8A023CC" xr6:coauthVersionLast="46" xr6:coauthVersionMax="47" xr10:uidLastSave="{BDD2DA16-0531-814C-8453-71D56D72894C}"/>
  <bookViews>
    <workbookView xWindow="-108" yWindow="-108" windowWidth="23256" windowHeight="12576" xr2:uid="{00000000-000D-0000-FFFF-FFFF00000000}"/>
  </bookViews>
  <sheets>
    <sheet name="Foglio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9" i="1" l="1"/>
  <c r="H19" i="1"/>
  <c r="I20" i="1"/>
  <c r="H20" i="1"/>
  <c r="I21" i="1"/>
  <c r="H21" i="1"/>
  <c r="I22" i="1"/>
  <c r="H22" i="1"/>
  <c r="I23" i="1"/>
  <c r="H23" i="1"/>
  <c r="I24" i="1"/>
  <c r="H24" i="1"/>
  <c r="I25" i="1"/>
  <c r="H25" i="1"/>
  <c r="I26" i="1"/>
  <c r="H26" i="1"/>
  <c r="I27" i="1"/>
  <c r="H27" i="1"/>
  <c r="I28" i="1"/>
  <c r="H28" i="1"/>
  <c r="I29" i="1"/>
  <c r="H29" i="1"/>
  <c r="I30" i="1"/>
  <c r="H30" i="1"/>
  <c r="I34" i="1"/>
  <c r="H34" i="1"/>
  <c r="I32" i="1"/>
  <c r="H32" i="1"/>
  <c r="I31" i="1"/>
  <c r="H31" i="1"/>
  <c r="U19" i="1"/>
  <c r="T19" i="1"/>
  <c r="U20" i="1"/>
  <c r="T20" i="1"/>
  <c r="U21" i="1"/>
  <c r="T21" i="1"/>
  <c r="U22" i="1"/>
  <c r="T22" i="1"/>
  <c r="U18" i="1"/>
  <c r="T18" i="1"/>
  <c r="E20" i="1"/>
  <c r="F20" i="1"/>
  <c r="E21" i="1"/>
  <c r="F21" i="1"/>
  <c r="E22" i="1"/>
  <c r="F22" i="1"/>
  <c r="E23" i="1"/>
  <c r="F23" i="1"/>
  <c r="E24" i="1"/>
  <c r="F24" i="1"/>
  <c r="E25" i="1"/>
  <c r="F25" i="1"/>
  <c r="E19" i="1"/>
  <c r="F19" i="1"/>
  <c r="B10" i="1"/>
  <c r="H4" i="1"/>
  <c r="I4" i="1"/>
  <c r="H6" i="1"/>
  <c r="I6" i="1"/>
  <c r="H7" i="1"/>
  <c r="I7" i="1"/>
  <c r="H8" i="1"/>
  <c r="I8" i="1"/>
  <c r="H5" i="1"/>
  <c r="I5" i="1"/>
  <c r="K5" i="1"/>
  <c r="G40" i="1"/>
  <c r="H40" i="1"/>
  <c r="J40" i="1"/>
  <c r="G41" i="1"/>
  <c r="H41" i="1"/>
  <c r="G42" i="1"/>
  <c r="H42" i="1"/>
  <c r="G43" i="1"/>
  <c r="H43" i="1"/>
  <c r="G44" i="1"/>
  <c r="H44" i="1"/>
  <c r="G45" i="1"/>
  <c r="H45" i="1"/>
  <c r="G47" i="1"/>
  <c r="H47" i="1"/>
  <c r="G39" i="1"/>
  <c r="H39" i="1"/>
  <c r="K39" i="1"/>
  <c r="G51" i="1"/>
  <c r="C49" i="1"/>
  <c r="N72" i="1"/>
  <c r="N59" i="1"/>
  <c r="O59" i="1"/>
  <c r="Q59" i="1"/>
  <c r="N60" i="1"/>
  <c r="O60" i="1"/>
  <c r="N61" i="1"/>
  <c r="O61" i="1"/>
  <c r="N62" i="1"/>
  <c r="O62" i="1"/>
  <c r="N63" i="1"/>
  <c r="O63" i="1"/>
  <c r="N64" i="1"/>
  <c r="O64" i="1"/>
  <c r="N65" i="1"/>
  <c r="O65" i="1"/>
  <c r="N66" i="1"/>
  <c r="O66" i="1"/>
  <c r="Q66" i="1"/>
  <c r="N67" i="1"/>
  <c r="O67" i="1"/>
  <c r="Q67" i="1"/>
  <c r="N58" i="1"/>
  <c r="O58" i="1"/>
  <c r="B63" i="1"/>
  <c r="B60" i="1"/>
  <c r="L59" i="1"/>
  <c r="L60" i="1"/>
  <c r="L61" i="1"/>
  <c r="L62" i="1"/>
  <c r="L63" i="1"/>
  <c r="L64" i="1"/>
  <c r="L65" i="1"/>
  <c r="L66" i="1"/>
  <c r="L67" i="1"/>
  <c r="L58" i="1"/>
  <c r="U63" i="1"/>
  <c r="U65" i="1"/>
  <c r="K59" i="1"/>
  <c r="K60" i="1"/>
  <c r="K61" i="1"/>
  <c r="K62" i="1"/>
  <c r="K63" i="1"/>
  <c r="K64" i="1"/>
  <c r="K65" i="1"/>
  <c r="K66" i="1"/>
  <c r="K67" i="1"/>
  <c r="K58" i="1"/>
  <c r="G58" i="1"/>
  <c r="H58" i="1"/>
  <c r="I58" i="1"/>
  <c r="G59" i="1"/>
  <c r="H59" i="1"/>
  <c r="I59" i="1"/>
  <c r="G60" i="1"/>
  <c r="H60" i="1"/>
  <c r="I60" i="1"/>
  <c r="G61" i="1"/>
  <c r="G62" i="1"/>
  <c r="H62" i="1"/>
  <c r="G63" i="1"/>
  <c r="H63" i="1"/>
  <c r="I63" i="1"/>
  <c r="G64" i="1"/>
  <c r="H64" i="1"/>
  <c r="I64" i="1"/>
  <c r="G65" i="1"/>
  <c r="H65" i="1"/>
  <c r="I65" i="1"/>
  <c r="G66" i="1"/>
  <c r="H66" i="1"/>
  <c r="I66" i="1"/>
  <c r="G67" i="1"/>
  <c r="H67" i="1"/>
  <c r="I67" i="1"/>
  <c r="F4" i="1"/>
  <c r="I10" i="1"/>
  <c r="L8" i="1"/>
  <c r="K8" i="1"/>
  <c r="K4" i="1"/>
  <c r="L4" i="1"/>
  <c r="L7" i="1"/>
  <c r="K7" i="1"/>
  <c r="K6" i="1"/>
  <c r="L6" i="1"/>
  <c r="L5" i="1"/>
  <c r="K40" i="1"/>
  <c r="J42" i="1"/>
  <c r="K42" i="1"/>
  <c r="K41" i="1"/>
  <c r="J41" i="1"/>
  <c r="K47" i="1"/>
  <c r="J47" i="1"/>
  <c r="H49" i="1"/>
  <c r="K45" i="1"/>
  <c r="J45" i="1"/>
  <c r="K44" i="1"/>
  <c r="J44" i="1"/>
  <c r="K43" i="1"/>
  <c r="J43" i="1"/>
  <c r="J39" i="1"/>
  <c r="U64" i="1"/>
  <c r="Y60" i="1"/>
  <c r="Q58" i="1"/>
  <c r="P58" i="1"/>
  <c r="Q61" i="1"/>
  <c r="P61" i="1"/>
  <c r="Q60" i="1"/>
  <c r="P60" i="1"/>
  <c r="U66" i="1"/>
  <c r="P63" i="1"/>
  <c r="Q63" i="1"/>
  <c r="P64" i="1"/>
  <c r="Q64" i="1"/>
  <c r="P62" i="1"/>
  <c r="Q62" i="1"/>
  <c r="Q65" i="1"/>
  <c r="P65" i="1"/>
  <c r="P59" i="1"/>
  <c r="N70" i="1"/>
  <c r="P67" i="1"/>
  <c r="P66" i="1"/>
  <c r="H61" i="1"/>
  <c r="I61" i="1"/>
  <c r="I62" i="1"/>
  <c r="F6" i="1"/>
  <c r="F8" i="1"/>
  <c r="F5" i="1"/>
  <c r="F7" i="1"/>
  <c r="L10" i="1"/>
  <c r="K10" i="1"/>
  <c r="K49" i="1"/>
  <c r="J49" i="1"/>
  <c r="C51" i="1"/>
  <c r="U61" i="1"/>
  <c r="U60" i="1"/>
  <c r="N73" i="1"/>
  <c r="N71" i="1"/>
  <c r="N78" i="1"/>
  <c r="H68" i="1"/>
  <c r="I68" i="1"/>
  <c r="C11" i="1"/>
  <c r="C13" i="1"/>
  <c r="C53" i="1"/>
  <c r="C52" i="1"/>
  <c r="N77" i="1"/>
  <c r="N76" i="1"/>
  <c r="G19" i="1"/>
  <c r="G25" i="1"/>
  <c r="G22" i="1"/>
  <c r="G20" i="1"/>
  <c r="G23" i="1"/>
  <c r="G21" i="1"/>
  <c r="G24" i="1"/>
  <c r="C12" i="1"/>
</calcChain>
</file>

<file path=xl/sharedStrings.xml><?xml version="1.0" encoding="utf-8"?>
<sst xmlns="http://schemas.openxmlformats.org/spreadsheetml/2006/main" count="82" uniqueCount="61">
  <si>
    <t>TUBO APERTO</t>
  </si>
  <si>
    <t>FREQUENZA</t>
  </si>
  <si>
    <t>più-meno</t>
  </si>
  <si>
    <t>N reklativo</t>
  </si>
  <si>
    <t>quelle che mi aspetto</t>
  </si>
  <si>
    <t>TUBO CHIUSO ARIA</t>
  </si>
  <si>
    <t>TUBO CHIUSO LUNGHEZZA-FREQ</t>
  </si>
  <si>
    <t>INCERTEZZA</t>
  </si>
  <si>
    <t>40 CM</t>
  </si>
  <si>
    <t>ARGON</t>
  </si>
  <si>
    <t>TUBO ARGON</t>
  </si>
  <si>
    <t>LUNGHEZZA:</t>
  </si>
  <si>
    <t xml:space="preserve">FREQUENZA </t>
  </si>
  <si>
    <t>CRIPTON</t>
  </si>
  <si>
    <t>TUBO CRIPTON</t>
  </si>
  <si>
    <t>più o meno</t>
  </si>
  <si>
    <t>N relativo</t>
  </si>
  <si>
    <t>Exp</t>
  </si>
  <si>
    <t>(Exp - Obs)^2/err_obsd^2</t>
  </si>
  <si>
    <t>Termine noto A:</t>
  </si>
  <si>
    <t>x^2</t>
  </si>
  <si>
    <t>sommatoria X^2</t>
  </si>
  <si>
    <t>sommatoria Y</t>
  </si>
  <si>
    <t>sommatoria X</t>
  </si>
  <si>
    <t>sommatoria X*Y</t>
  </si>
  <si>
    <t>x*y</t>
  </si>
  <si>
    <t>DELTA</t>
  </si>
  <si>
    <t>Termine B:</t>
  </si>
  <si>
    <t>[errore sistematico]</t>
  </si>
  <si>
    <t>Lungh d'onda</t>
  </si>
  <si>
    <t>Lugh corretto:</t>
  </si>
  <si>
    <t>DIAMETRO:</t>
  </si>
  <si>
    <t>Velocita' teorica:</t>
  </si>
  <si>
    <t>GAMMA4</t>
  </si>
  <si>
    <t>inv lungh d'onda</t>
  </si>
  <si>
    <t>sommat. X^2:</t>
  </si>
  <si>
    <t>sommat. X:</t>
  </si>
  <si>
    <t>somamt. Y:</t>
  </si>
  <si>
    <t>sommat. X*y:</t>
  </si>
  <si>
    <t>Coef A:</t>
  </si>
  <si>
    <t>Coef B:</t>
  </si>
  <si>
    <t>lungh d'onda</t>
  </si>
  <si>
    <t>INV lungh d'onda</t>
  </si>
  <si>
    <t>SOMMATORIA:</t>
  </si>
  <si>
    <t>coef A:</t>
  </si>
  <si>
    <t>coef B:</t>
  </si>
  <si>
    <t>velocita' teorica</t>
  </si>
  <si>
    <t>lungh</t>
  </si>
  <si>
    <t>SOMMATORIE</t>
  </si>
  <si>
    <t>DELTA:</t>
  </si>
  <si>
    <t>lungh d'onda sperimentale</t>
  </si>
  <si>
    <t>inverso lungh sperimentale</t>
  </si>
  <si>
    <t>frequenza teorica</t>
  </si>
  <si>
    <t>freq con n=1</t>
  </si>
  <si>
    <t>x=1/4*L</t>
  </si>
  <si>
    <t>lungh corretta</t>
  </si>
  <si>
    <t>lungh tubo</t>
  </si>
  <si>
    <t>x=(2n-1)/4*L</t>
  </si>
  <si>
    <t>VALORE SBALLATO</t>
  </si>
  <si>
    <t>lughezze varie</t>
  </si>
  <si>
    <t>QUESTI DATI NON SERVONO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</si>
</sst>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0" fillId="2" borderId="0" xfId="0" applyFill="1"/>
    <xf numFmtId="16" fontId="0" fillId="0" borderId="0" xfId="0" applyNumberFormat="1"/>
    <xf numFmtId="0" fontId="0" fillId="3" borderId="0" xfId="0" applyFill="1"/>
    <xf numFmtId="0" fontId="0" fillId="4" borderId="0" xfId="0" applyFill="1"/>
    <xf numFmtId="0" fontId="0" fillId="4" borderId="1" xfId="0" applyFill="1" applyBorder="1"/>
    <xf numFmtId="0" fontId="0" fillId="0" borderId="2" xfId="0" applyFill="1" applyBorder="1"/>
    <xf numFmtId="0" fontId="0" fillId="2" borderId="2" xfId="0" applyFill="1" applyBorder="1"/>
    <xf numFmtId="0" fontId="0" fillId="4" borderId="3" xfId="0" applyFill="1" applyBorder="1"/>
    <xf numFmtId="0" fontId="0" fillId="0" borderId="3" xfId="0" applyBorder="1"/>
    <xf numFmtId="0" fontId="0" fillId="4" borderId="4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0" xfId="0" applyFill="1" applyBorder="1"/>
    <xf numFmtId="0" fontId="0" fillId="4" borderId="8" xfId="0" applyFill="1" applyBorder="1"/>
    <xf numFmtId="0" fontId="0" fillId="4" borderId="9" xfId="0" applyFill="1" applyBorder="1"/>
    <xf numFmtId="0" fontId="0" fillId="4" borderId="10" xfId="0" applyFill="1" applyBorder="1"/>
    <xf numFmtId="0" fontId="0" fillId="4" borderId="11" xfId="0" applyFill="1" applyBorder="1"/>
    <xf numFmtId="0" fontId="0" fillId="4" borderId="12" xfId="0" applyFill="1" applyBorder="1"/>
    <xf numFmtId="0" fontId="1" fillId="4" borderId="5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 /><Relationship Id="rId3" Type="http://schemas.openxmlformats.org/officeDocument/2006/relationships/styles" Target="styles.xml" /><Relationship Id="rId7" Type="http://schemas.openxmlformats.org/officeDocument/2006/relationships/customXml" Target="../customXml/item2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6" Type="http://schemas.openxmlformats.org/officeDocument/2006/relationships/customXml" Target="../customXml/item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 /><Relationship Id="rId1" Type="http://schemas.microsoft.com/office/2011/relationships/chartStyle" Target="style2.xml" 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 /><Relationship Id="rId1" Type="http://schemas.microsoft.com/office/2011/relationships/chartStyle" Target="style3.xml" 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 /><Relationship Id="rId1" Type="http://schemas.microsoft.com/office/2011/relationships/chartStyle" Target="style4.xml" 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 /><Relationship Id="rId1" Type="http://schemas.microsoft.com/office/2011/relationships/chartStyle" Target="style5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Freq = m*N + q</a:t>
            </a:r>
          </a:p>
        </c:rich>
      </c:tx>
      <c:layout>
        <c:manualLayout>
          <c:xMode val="edge"/>
          <c:yMode val="edge"/>
          <c:x val="0.42633756291152436"/>
          <c:y val="1.92678227360308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1914260717410323E-2"/>
          <c:y val="0.13930555555555557"/>
          <c:w val="0.87753018372703417"/>
          <c:h val="0.61498432487605714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Foglio1!$E$58:$E$68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10</c:v>
                </c:pt>
                <c:pt idx="7">
                  <c:v>20</c:v>
                </c:pt>
                <c:pt idx="8">
                  <c:v>40</c:v>
                </c:pt>
                <c:pt idx="9">
                  <c:v>80</c:v>
                </c:pt>
              </c:numCache>
            </c:numRef>
          </c:xVal>
          <c:yVal>
            <c:numRef>
              <c:f>Foglio1!$C$58:$C$67</c:f>
              <c:numCache>
                <c:formatCode>General</c:formatCode>
                <c:ptCount val="10"/>
                <c:pt idx="0">
                  <c:v>95.1</c:v>
                </c:pt>
                <c:pt idx="1">
                  <c:v>187.5</c:v>
                </c:pt>
                <c:pt idx="2">
                  <c:v>288</c:v>
                </c:pt>
                <c:pt idx="3">
                  <c:v>383</c:v>
                </c:pt>
                <c:pt idx="4">
                  <c:v>478.7</c:v>
                </c:pt>
                <c:pt idx="5">
                  <c:v>574.1</c:v>
                </c:pt>
                <c:pt idx="6">
                  <c:v>957.5</c:v>
                </c:pt>
                <c:pt idx="7">
                  <c:v>1926.5</c:v>
                </c:pt>
                <c:pt idx="8">
                  <c:v>3851.5</c:v>
                </c:pt>
                <c:pt idx="9">
                  <c:v>7717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17F-46C3-8058-81492DA488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3975688"/>
        <c:axId val="573980936"/>
      </c:scatterChart>
      <c:valAx>
        <c:axId val="573975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980936"/>
        <c:crosses val="autoZero"/>
        <c:crossBetween val="midCat"/>
      </c:valAx>
      <c:valAx>
        <c:axId val="573980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9756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92D05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freq = vel / lunghd'onda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Foglio1!$O$58:$O$67</c:f>
              <c:numCache>
                <c:formatCode>General</c:formatCode>
                <c:ptCount val="10"/>
                <c:pt idx="0">
                  <c:v>0.33898305084745761</c:v>
                </c:pt>
                <c:pt idx="1">
                  <c:v>0.67796610169491522</c:v>
                </c:pt>
                <c:pt idx="2">
                  <c:v>1.0169491525423728</c:v>
                </c:pt>
                <c:pt idx="3">
                  <c:v>1.3559322033898304</c:v>
                </c:pt>
                <c:pt idx="4">
                  <c:v>1.6949152542372878</c:v>
                </c:pt>
                <c:pt idx="5">
                  <c:v>2.0338983050847457</c:v>
                </c:pt>
                <c:pt idx="6">
                  <c:v>3.3898305084745757</c:v>
                </c:pt>
                <c:pt idx="7">
                  <c:v>6.7796610169491514</c:v>
                </c:pt>
                <c:pt idx="8">
                  <c:v>13.559322033898303</c:v>
                </c:pt>
                <c:pt idx="9">
                  <c:v>27.118644067796605</c:v>
                </c:pt>
              </c:numCache>
            </c:numRef>
          </c:xVal>
          <c:yVal>
            <c:numRef>
              <c:f>Foglio1!$C$58:$C$67</c:f>
              <c:numCache>
                <c:formatCode>General</c:formatCode>
                <c:ptCount val="10"/>
                <c:pt idx="0">
                  <c:v>95.1</c:v>
                </c:pt>
                <c:pt idx="1">
                  <c:v>187.5</c:v>
                </c:pt>
                <c:pt idx="2">
                  <c:v>288</c:v>
                </c:pt>
                <c:pt idx="3">
                  <c:v>383</c:v>
                </c:pt>
                <c:pt idx="4">
                  <c:v>478.7</c:v>
                </c:pt>
                <c:pt idx="5">
                  <c:v>574.1</c:v>
                </c:pt>
                <c:pt idx="6">
                  <c:v>957.5</c:v>
                </c:pt>
                <c:pt idx="7">
                  <c:v>1926.5</c:v>
                </c:pt>
                <c:pt idx="8">
                  <c:v>3851.5</c:v>
                </c:pt>
                <c:pt idx="9">
                  <c:v>7717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11-4F08-AFEA-2F5EF138C8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2682080"/>
        <c:axId val="992681248"/>
      </c:scatterChart>
      <c:valAx>
        <c:axId val="992682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681248"/>
        <c:crosses val="autoZero"/>
        <c:crossBetween val="midCat"/>
      </c:valAx>
      <c:valAx>
        <c:axId val="992681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6820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0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freq</a:t>
            </a:r>
            <a:r>
              <a:rPr lang="en-US" baseline="0"/>
              <a:t> = velocita/lunghd'onda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Foglio1!$H$39:$H$47</c:f>
              <c:numCache>
                <c:formatCode>General</c:formatCode>
                <c:ptCount val="9"/>
                <c:pt idx="0">
                  <c:v>0.34246575342465752</c:v>
                </c:pt>
                <c:pt idx="1">
                  <c:v>0.68493150684931503</c:v>
                </c:pt>
                <c:pt idx="2">
                  <c:v>1.0273972602739727</c:v>
                </c:pt>
                <c:pt idx="3">
                  <c:v>1.3698630136986301</c:v>
                </c:pt>
                <c:pt idx="4">
                  <c:v>1.7123287671232879</c:v>
                </c:pt>
                <c:pt idx="5">
                  <c:v>2.7397260273972601</c:v>
                </c:pt>
                <c:pt idx="6">
                  <c:v>4.1095890410958908</c:v>
                </c:pt>
                <c:pt idx="8">
                  <c:v>18.835616438356166</c:v>
                </c:pt>
              </c:numCache>
            </c:numRef>
          </c:xVal>
          <c:yVal>
            <c:numRef>
              <c:f>Foglio1!$C$39:$C$47</c:f>
              <c:numCache>
                <c:formatCode>General</c:formatCode>
                <c:ptCount val="9"/>
                <c:pt idx="0">
                  <c:v>108.3</c:v>
                </c:pt>
                <c:pt idx="1">
                  <c:v>222</c:v>
                </c:pt>
                <c:pt idx="2">
                  <c:v>330.6</c:v>
                </c:pt>
                <c:pt idx="3">
                  <c:v>439.3</c:v>
                </c:pt>
                <c:pt idx="4">
                  <c:v>549</c:v>
                </c:pt>
                <c:pt idx="5">
                  <c:v>881.5</c:v>
                </c:pt>
                <c:pt idx="6">
                  <c:v>1321</c:v>
                </c:pt>
                <c:pt idx="8">
                  <c:v>5969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F9-4C1C-949C-90CC5886F0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7616400"/>
        <c:axId val="1187615152"/>
      </c:scatterChart>
      <c:valAx>
        <c:axId val="1187616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7615152"/>
        <c:crosses val="autoZero"/>
        <c:crossBetween val="midCat"/>
      </c:valAx>
      <c:valAx>
        <c:axId val="1187615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7616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freq = veloc/lunghd'onda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Foglio1!$I$4:$I$8</c:f>
              <c:numCache>
                <c:formatCode>General</c:formatCode>
                <c:ptCount val="5"/>
                <c:pt idx="0">
                  <c:v>0.55555555555555558</c:v>
                </c:pt>
                <c:pt idx="1">
                  <c:v>1.1111111111111112</c:v>
                </c:pt>
                <c:pt idx="2">
                  <c:v>2.2222222222222223</c:v>
                </c:pt>
                <c:pt idx="3">
                  <c:v>3.3333333333333335</c:v>
                </c:pt>
                <c:pt idx="4">
                  <c:v>4.4444444444444446</c:v>
                </c:pt>
              </c:numCache>
            </c:numRef>
          </c:xVal>
          <c:yVal>
            <c:numRef>
              <c:f>Foglio1!$B$4:$B$8</c:f>
              <c:numCache>
                <c:formatCode>General</c:formatCode>
                <c:ptCount val="5"/>
                <c:pt idx="0">
                  <c:v>185</c:v>
                </c:pt>
                <c:pt idx="1">
                  <c:v>370</c:v>
                </c:pt>
                <c:pt idx="2">
                  <c:v>742</c:v>
                </c:pt>
                <c:pt idx="3">
                  <c:v>1113</c:v>
                </c:pt>
                <c:pt idx="4">
                  <c:v>1493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C5-4DFF-9AD6-22DC9DE669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3988992"/>
        <c:axId val="993996896"/>
      </c:scatterChart>
      <c:valAx>
        <c:axId val="993988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3996896"/>
        <c:crosses val="autoZero"/>
        <c:crossBetween val="midCat"/>
      </c:valAx>
      <c:valAx>
        <c:axId val="99399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3988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freq = veloc (2*n -1)/4*lungh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Foglio1!$H$19:$H$32</c:f>
              <c:numCache>
                <c:formatCode>General</c:formatCode>
                <c:ptCount val="14"/>
                <c:pt idx="0">
                  <c:v>0.30864197530864196</c:v>
                </c:pt>
                <c:pt idx="1">
                  <c:v>0.92592592592592582</c:v>
                </c:pt>
                <c:pt idx="2">
                  <c:v>1.5432098765432098</c:v>
                </c:pt>
                <c:pt idx="3">
                  <c:v>2.1604938271604937</c:v>
                </c:pt>
                <c:pt idx="4">
                  <c:v>2.7777777777777777</c:v>
                </c:pt>
                <c:pt idx="5">
                  <c:v>4.6296296296296298</c:v>
                </c:pt>
                <c:pt idx="6">
                  <c:v>7.098765432098765</c:v>
                </c:pt>
                <c:pt idx="7">
                  <c:v>0.6097560975609756</c:v>
                </c:pt>
                <c:pt idx="8">
                  <c:v>1.8292682926829267</c:v>
                </c:pt>
                <c:pt idx="9">
                  <c:v>3.0487804878048776</c:v>
                </c:pt>
                <c:pt idx="10">
                  <c:v>5.48780487804878</c:v>
                </c:pt>
                <c:pt idx="11">
                  <c:v>7.926829268292682</c:v>
                </c:pt>
                <c:pt idx="12">
                  <c:v>0.80645161290322587</c:v>
                </c:pt>
                <c:pt idx="13">
                  <c:v>1.1904761904761905</c:v>
                </c:pt>
              </c:numCache>
            </c:numRef>
          </c:xVal>
          <c:yVal>
            <c:numRef>
              <c:f>Foglio1!$B$19:$B$32</c:f>
              <c:numCache>
                <c:formatCode>General</c:formatCode>
                <c:ptCount val="14"/>
                <c:pt idx="0">
                  <c:v>105</c:v>
                </c:pt>
                <c:pt idx="1">
                  <c:v>316</c:v>
                </c:pt>
                <c:pt idx="2">
                  <c:v>525</c:v>
                </c:pt>
                <c:pt idx="3">
                  <c:v>735</c:v>
                </c:pt>
                <c:pt idx="4">
                  <c:v>945</c:v>
                </c:pt>
                <c:pt idx="5">
                  <c:v>1584</c:v>
                </c:pt>
                <c:pt idx="6">
                  <c:v>2415</c:v>
                </c:pt>
                <c:pt idx="7">
                  <c:v>204</c:v>
                </c:pt>
                <c:pt idx="8">
                  <c:v>618</c:v>
                </c:pt>
                <c:pt idx="9">
                  <c:v>1028</c:v>
                </c:pt>
                <c:pt idx="10">
                  <c:v>1858</c:v>
                </c:pt>
                <c:pt idx="11">
                  <c:v>2714</c:v>
                </c:pt>
                <c:pt idx="12">
                  <c:v>270</c:v>
                </c:pt>
                <c:pt idx="13">
                  <c:v>393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6F-49C0-AA55-45BE6C851785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Foglio1!$T$18</c:f>
              <c:numCache>
                <c:formatCode>General</c:formatCode>
                <c:ptCount val="1"/>
                <c:pt idx="0">
                  <c:v>0.27808676307007785</c:v>
                </c:pt>
              </c:numCache>
            </c:numRef>
          </c:xVal>
          <c:yVal>
            <c:numRef>
              <c:f>Foglio1!$R$18</c:f>
              <c:numCache>
                <c:formatCode>General</c:formatCode>
                <c:ptCount val="1"/>
                <c:pt idx="0">
                  <c:v>44.95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D6F-49C0-AA55-45BE6C8517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3451904"/>
        <c:axId val="1183445248"/>
      </c:scatterChart>
      <c:valAx>
        <c:axId val="1183451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3445248"/>
        <c:crosses val="autoZero"/>
        <c:crossBetween val="midCat"/>
      </c:valAx>
      <c:valAx>
        <c:axId val="1183445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34519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 /><Relationship Id="rId2" Type="http://schemas.openxmlformats.org/officeDocument/2006/relationships/chart" Target="../charts/chart2.xml" /><Relationship Id="rId1" Type="http://schemas.openxmlformats.org/officeDocument/2006/relationships/chart" Target="../charts/chart1.xml" /><Relationship Id="rId5" Type="http://schemas.openxmlformats.org/officeDocument/2006/relationships/chart" Target="../charts/chart5.xml" /><Relationship Id="rId4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735331</xdr:colOff>
      <xdr:row>69</xdr:row>
      <xdr:rowOff>74295</xdr:rowOff>
    </xdr:from>
    <xdr:to>
      <xdr:col>6</xdr:col>
      <xdr:colOff>541021</xdr:colOff>
      <xdr:row>85</xdr:row>
      <xdr:rowOff>144781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300555</xdr:colOff>
      <xdr:row>70</xdr:row>
      <xdr:rowOff>35135</xdr:rowOff>
    </xdr:from>
    <xdr:to>
      <xdr:col>11</xdr:col>
      <xdr:colOff>315795</xdr:colOff>
      <xdr:row>85</xdr:row>
      <xdr:rowOff>35134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57605037-D8BD-49B5-B2B9-8211566B3A7D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752686</xdr:colOff>
      <xdr:row>34</xdr:row>
      <xdr:rowOff>142663</xdr:rowOff>
    </xdr:from>
    <xdr:to>
      <xdr:col>17</xdr:col>
      <xdr:colOff>752687</xdr:colOff>
      <xdr:row>49</xdr:row>
      <xdr:rowOff>127423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E1625EE0-16EC-49BB-B937-8883CAD534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533400</xdr:colOff>
      <xdr:row>0</xdr:row>
      <xdr:rowOff>0</xdr:rowOff>
    </xdr:from>
    <xdr:to>
      <xdr:col>18</xdr:col>
      <xdr:colOff>533400</xdr:colOff>
      <xdr:row>15</xdr:row>
      <xdr:rowOff>0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31FE0AB8-5973-4210-AAE4-74D456F739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780850</xdr:colOff>
      <xdr:row>15</xdr:row>
      <xdr:rowOff>119714</xdr:rowOff>
    </xdr:from>
    <xdr:to>
      <xdr:col>14</xdr:col>
      <xdr:colOff>780850</xdr:colOff>
      <xdr:row>32</xdr:row>
      <xdr:rowOff>100264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458A874D-2997-40B2-B68C-1CD965566A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A78"/>
  <sheetViews>
    <sheetView tabSelected="1" topLeftCell="F36" zoomScale="36" workbookViewId="0">
      <selection activeCell="I58" sqref="I58"/>
    </sheetView>
  </sheetViews>
  <sheetFormatPr defaultColWidth="13.31640625" defaultRowHeight="15" x14ac:dyDescent="0.2"/>
  <cols>
    <col min="8" max="8" width="26.5" customWidth="1"/>
  </cols>
  <sheetData>
    <row r="2" spans="1:27" s="5" customFormat="1" x14ac:dyDescent="0.2">
      <c r="A2" s="5" t="s">
        <v>0</v>
      </c>
      <c r="C2" s="5" t="s">
        <v>47</v>
      </c>
      <c r="D2" s="5">
        <v>0.9</v>
      </c>
    </row>
    <row r="3" spans="1:27" x14ac:dyDescent="0.2">
      <c r="B3" t="s">
        <v>1</v>
      </c>
      <c r="C3" t="s">
        <v>2</v>
      </c>
      <c r="D3" t="s">
        <v>3</v>
      </c>
      <c r="F3" t="s">
        <v>4</v>
      </c>
      <c r="H3" t="s">
        <v>41</v>
      </c>
      <c r="I3" t="s">
        <v>42</v>
      </c>
      <c r="K3" t="s">
        <v>20</v>
      </c>
      <c r="L3" t="s">
        <v>25</v>
      </c>
    </row>
    <row r="4" spans="1:27" x14ac:dyDescent="0.2">
      <c r="B4">
        <v>185</v>
      </c>
      <c r="C4">
        <v>1</v>
      </c>
      <c r="D4">
        <v>1</v>
      </c>
      <c r="F4">
        <f>B4</f>
        <v>185</v>
      </c>
      <c r="H4">
        <f>2*D$2/D4</f>
        <v>1.8</v>
      </c>
      <c r="I4">
        <f>1/H4</f>
        <v>0.55555555555555558</v>
      </c>
      <c r="K4">
        <f>I4^2</f>
        <v>0.30864197530864201</v>
      </c>
      <c r="L4">
        <f>I4*B4</f>
        <v>102.77777777777779</v>
      </c>
    </row>
    <row r="5" spans="1:27" x14ac:dyDescent="0.2">
      <c r="B5">
        <v>370</v>
      </c>
      <c r="C5">
        <v>1</v>
      </c>
      <c r="D5">
        <v>2</v>
      </c>
      <c r="F5">
        <f>F4*2</f>
        <v>370</v>
      </c>
      <c r="H5">
        <f>2*D$2/D5</f>
        <v>0.9</v>
      </c>
      <c r="I5">
        <f>1/H5</f>
        <v>1.1111111111111112</v>
      </c>
      <c r="K5">
        <f t="shared" ref="K5:K8" si="0">I5^2</f>
        <v>1.2345679012345681</v>
      </c>
      <c r="L5">
        <f t="shared" ref="L5:L8" si="1">I5*B5</f>
        <v>411.11111111111114</v>
      </c>
    </row>
    <row r="6" spans="1:27" x14ac:dyDescent="0.2">
      <c r="B6">
        <v>742</v>
      </c>
      <c r="C6">
        <v>2</v>
      </c>
      <c r="D6">
        <v>4</v>
      </c>
      <c r="F6">
        <f>F4*4</f>
        <v>740</v>
      </c>
      <c r="H6">
        <f>2*D$2/D6</f>
        <v>0.45</v>
      </c>
      <c r="I6">
        <f t="shared" ref="I6:I8" si="2">1/H6</f>
        <v>2.2222222222222223</v>
      </c>
      <c r="K6">
        <f t="shared" si="0"/>
        <v>4.9382716049382722</v>
      </c>
      <c r="L6">
        <f t="shared" si="1"/>
        <v>1648.8888888888889</v>
      </c>
    </row>
    <row r="7" spans="1:27" x14ac:dyDescent="0.2">
      <c r="B7">
        <v>1113</v>
      </c>
      <c r="C7">
        <v>2</v>
      </c>
      <c r="D7">
        <v>6</v>
      </c>
      <c r="F7">
        <f>F4*6</f>
        <v>1110</v>
      </c>
      <c r="H7">
        <f>2*D$2/D7</f>
        <v>0.3</v>
      </c>
      <c r="I7">
        <f t="shared" si="2"/>
        <v>3.3333333333333335</v>
      </c>
      <c r="K7">
        <f t="shared" si="0"/>
        <v>11.111111111111112</v>
      </c>
      <c r="L7">
        <f t="shared" si="1"/>
        <v>3710</v>
      </c>
    </row>
    <row r="8" spans="1:27" x14ac:dyDescent="0.2">
      <c r="B8">
        <v>1493</v>
      </c>
      <c r="C8">
        <v>3</v>
      </c>
      <c r="D8">
        <v>8</v>
      </c>
      <c r="F8">
        <f>F4*8</f>
        <v>1480</v>
      </c>
      <c r="H8">
        <f>2*D$2/D8</f>
        <v>0.22500000000000001</v>
      </c>
      <c r="I8">
        <f t="shared" si="2"/>
        <v>4.4444444444444446</v>
      </c>
      <c r="K8">
        <f t="shared" si="0"/>
        <v>19.753086419753089</v>
      </c>
      <c r="L8">
        <f t="shared" si="1"/>
        <v>6635.5555555555557</v>
      </c>
    </row>
    <row r="10" spans="1:27" s="5" customFormat="1" x14ac:dyDescent="0.2">
      <c r="A10" s="5" t="s">
        <v>48</v>
      </c>
      <c r="B10" s="5">
        <f>SUM(B4:B8)</f>
        <v>3903</v>
      </c>
      <c r="I10" s="5">
        <f>SUM(I4:I8)</f>
        <v>11.666666666666668</v>
      </c>
      <c r="K10" s="5">
        <f>SUM(K4:K8)</f>
        <v>37.345679012345684</v>
      </c>
      <c r="L10" s="5">
        <f>SUM(L4:L8)</f>
        <v>12508.333333333332</v>
      </c>
    </row>
    <row r="11" spans="1:27" x14ac:dyDescent="0.2">
      <c r="B11" t="s">
        <v>49</v>
      </c>
      <c r="C11">
        <f>5*K10-I10^2</f>
        <v>50.617283950617264</v>
      </c>
    </row>
    <row r="12" spans="1:27" x14ac:dyDescent="0.2">
      <c r="B12" t="s">
        <v>44</v>
      </c>
      <c r="C12">
        <f>(K10*B10-I10*L10)/C11</f>
        <v>-3.3658536585364804</v>
      </c>
    </row>
    <row r="13" spans="1:27" x14ac:dyDescent="0.2">
      <c r="B13" t="s">
        <v>45</v>
      </c>
      <c r="C13">
        <f>(5*L10-B10*I10)/C11</f>
        <v>335.98536585365832</v>
      </c>
    </row>
    <row r="15" spans="1:27" ht="15.75" thickBot="1" x14ac:dyDescent="0.25"/>
    <row r="16" spans="1:27" s="5" customFormat="1" x14ac:dyDescent="0.2">
      <c r="B16" s="6" t="s">
        <v>5</v>
      </c>
      <c r="C16" s="6"/>
      <c r="D16" s="9" t="s">
        <v>59</v>
      </c>
      <c r="E16" s="11">
        <v>0.8</v>
      </c>
      <c r="F16" s="20" t="s">
        <v>60</v>
      </c>
      <c r="G16" s="12"/>
      <c r="H16" s="5" t="s">
        <v>57</v>
      </c>
      <c r="I16" s="5" t="s">
        <v>55</v>
      </c>
      <c r="Q16" s="5" t="s">
        <v>6</v>
      </c>
      <c r="R16" s="5" t="s">
        <v>53</v>
      </c>
      <c r="S16" s="5" t="s">
        <v>7</v>
      </c>
      <c r="T16" s="5" t="s">
        <v>54</v>
      </c>
      <c r="U16" s="5" t="s">
        <v>55</v>
      </c>
      <c r="X16" s="6" t="s">
        <v>5</v>
      </c>
      <c r="Y16" s="6"/>
      <c r="Z16" s="6" t="s">
        <v>8</v>
      </c>
      <c r="AA16" s="5">
        <v>0.4</v>
      </c>
    </row>
    <row r="17" spans="1:26" x14ac:dyDescent="0.2">
      <c r="B17" s="1"/>
      <c r="C17" s="1"/>
      <c r="D17" s="10"/>
      <c r="E17" s="13"/>
      <c r="F17" s="14"/>
      <c r="G17" s="15"/>
      <c r="X17" s="1">
        <v>204</v>
      </c>
      <c r="Y17" s="1">
        <v>3</v>
      </c>
      <c r="Z17" s="1">
        <v>1</v>
      </c>
    </row>
    <row r="18" spans="1:26" x14ac:dyDescent="0.2">
      <c r="A18" t="s">
        <v>56</v>
      </c>
      <c r="B18" s="1" t="s">
        <v>1</v>
      </c>
      <c r="C18" s="1" t="s">
        <v>2</v>
      </c>
      <c r="D18" s="10" t="s">
        <v>3</v>
      </c>
      <c r="E18" s="16" t="s">
        <v>50</v>
      </c>
      <c r="F18" s="14" t="s">
        <v>51</v>
      </c>
      <c r="G18" s="15" t="s">
        <v>52</v>
      </c>
      <c r="Q18">
        <v>0.88900000000000001</v>
      </c>
      <c r="R18">
        <v>44.95</v>
      </c>
      <c r="S18">
        <v>1</v>
      </c>
      <c r="T18">
        <f>1/(4*U18)</f>
        <v>0.27808676307007785</v>
      </c>
      <c r="U18">
        <f>Q18+0.4*0.025</f>
        <v>0.89900000000000002</v>
      </c>
      <c r="X18" s="1">
        <v>618</v>
      </c>
      <c r="Y18" s="1">
        <v>5</v>
      </c>
      <c r="Z18" s="1">
        <v>2</v>
      </c>
    </row>
    <row r="19" spans="1:26" x14ac:dyDescent="0.2">
      <c r="A19">
        <v>0.8</v>
      </c>
      <c r="B19" s="1">
        <v>105</v>
      </c>
      <c r="C19" s="1">
        <v>2</v>
      </c>
      <c r="D19" s="10">
        <v>1</v>
      </c>
      <c r="E19" s="13">
        <f>4*E$16/(2*D19-1)</f>
        <v>3.2</v>
      </c>
      <c r="F19" s="14">
        <f>1/E19</f>
        <v>0.3125</v>
      </c>
      <c r="G19" s="15">
        <f>F19*C$13</f>
        <v>104.99542682926823</v>
      </c>
      <c r="H19">
        <f>(2*D19-1)/(4*I19)</f>
        <v>0.30864197530864196</v>
      </c>
      <c r="I19">
        <f t="shared" ref="I19:I30" si="3">A19+0.4*0.025</f>
        <v>0.81</v>
      </c>
      <c r="Q19">
        <v>0.8</v>
      </c>
      <c r="R19" s="1">
        <v>105</v>
      </c>
      <c r="T19">
        <f t="shared" ref="T19:T22" si="4">1/(4*U19)</f>
        <v>0.30864197530864196</v>
      </c>
      <c r="U19">
        <f t="shared" ref="U19:U22" si="5">Q19+0.4*0.025</f>
        <v>0.81</v>
      </c>
      <c r="X19" s="1">
        <v>1028</v>
      </c>
      <c r="Y19" s="1">
        <v>6</v>
      </c>
      <c r="Z19" s="1">
        <v>3</v>
      </c>
    </row>
    <row r="20" spans="1:26" x14ac:dyDescent="0.2">
      <c r="A20">
        <v>0.8</v>
      </c>
      <c r="B20" s="1">
        <v>316</v>
      </c>
      <c r="C20" s="1">
        <v>3</v>
      </c>
      <c r="D20" s="10">
        <v>2</v>
      </c>
      <c r="E20" s="13">
        <f t="shared" ref="E20:E25" si="6">4*E$16/(2*D20-1)</f>
        <v>1.0666666666666667</v>
      </c>
      <c r="F20" s="14">
        <f t="shared" ref="F20:F25" si="7">1/E20</f>
        <v>0.9375</v>
      </c>
      <c r="G20" s="15">
        <f t="shared" ref="G20:G25" si="8">F20*C$13</f>
        <v>314.98628048780466</v>
      </c>
      <c r="H20">
        <f t="shared" ref="H20:H30" si="9">(2*D20-1)/(4*I20)</f>
        <v>0.92592592592592582</v>
      </c>
      <c r="I20">
        <f t="shared" si="3"/>
        <v>0.81</v>
      </c>
      <c r="Q20">
        <v>0.4</v>
      </c>
      <c r="R20" s="1">
        <v>204</v>
      </c>
      <c r="T20">
        <f t="shared" si="4"/>
        <v>0.6097560975609756</v>
      </c>
      <c r="U20">
        <f t="shared" si="5"/>
        <v>0.41000000000000003</v>
      </c>
      <c r="X20" s="1">
        <v>1858</v>
      </c>
      <c r="Y20" s="1">
        <v>11</v>
      </c>
      <c r="Z20" s="1">
        <v>5</v>
      </c>
    </row>
    <row r="21" spans="1:26" x14ac:dyDescent="0.2">
      <c r="A21">
        <v>0.8</v>
      </c>
      <c r="B21" s="1">
        <v>525</v>
      </c>
      <c r="C21" s="1">
        <v>2</v>
      </c>
      <c r="D21" s="10">
        <v>3</v>
      </c>
      <c r="E21" s="13">
        <f t="shared" si="6"/>
        <v>0.64</v>
      </c>
      <c r="F21" s="14">
        <f t="shared" si="7"/>
        <v>1.5625</v>
      </c>
      <c r="G21" s="15">
        <f t="shared" si="8"/>
        <v>524.97713414634109</v>
      </c>
      <c r="H21">
        <f t="shared" si="9"/>
        <v>1.5432098765432098</v>
      </c>
      <c r="I21">
        <f t="shared" si="3"/>
        <v>0.81</v>
      </c>
      <c r="Q21">
        <v>0.3</v>
      </c>
      <c r="R21">
        <v>270</v>
      </c>
      <c r="T21">
        <f t="shared" si="4"/>
        <v>0.80645161290322587</v>
      </c>
      <c r="U21">
        <f t="shared" si="5"/>
        <v>0.31</v>
      </c>
      <c r="X21" s="1">
        <v>2714</v>
      </c>
      <c r="Y21" s="1">
        <v>20</v>
      </c>
      <c r="Z21" s="1">
        <v>7</v>
      </c>
    </row>
    <row r="22" spans="1:26" x14ac:dyDescent="0.2">
      <c r="A22">
        <v>0.8</v>
      </c>
      <c r="B22" s="1">
        <v>735</v>
      </c>
      <c r="C22" s="1">
        <v>2</v>
      </c>
      <c r="D22" s="10">
        <v>4</v>
      </c>
      <c r="E22" s="13">
        <f t="shared" si="6"/>
        <v>0.45714285714285718</v>
      </c>
      <c r="F22" s="14">
        <f t="shared" si="7"/>
        <v>2.1875</v>
      </c>
      <c r="G22" s="15">
        <f t="shared" si="8"/>
        <v>734.96798780487757</v>
      </c>
      <c r="H22">
        <f t="shared" si="9"/>
        <v>2.1604938271604937</v>
      </c>
      <c r="I22">
        <f t="shared" si="3"/>
        <v>0.81</v>
      </c>
      <c r="Q22">
        <v>0.2</v>
      </c>
      <c r="R22">
        <v>393</v>
      </c>
      <c r="T22">
        <f t="shared" si="4"/>
        <v>1.1904761904761905</v>
      </c>
      <c r="U22">
        <f t="shared" si="5"/>
        <v>0.21000000000000002</v>
      </c>
    </row>
    <row r="23" spans="1:26" x14ac:dyDescent="0.2">
      <c r="A23">
        <v>0.8</v>
      </c>
      <c r="B23" s="1">
        <v>945</v>
      </c>
      <c r="C23" s="1">
        <v>3</v>
      </c>
      <c r="D23" s="10">
        <v>5</v>
      </c>
      <c r="E23" s="13">
        <f t="shared" si="6"/>
        <v>0.35555555555555557</v>
      </c>
      <c r="F23" s="14">
        <f t="shared" si="7"/>
        <v>2.8125</v>
      </c>
      <c r="G23" s="15">
        <f t="shared" si="8"/>
        <v>944.95884146341405</v>
      </c>
      <c r="H23">
        <f t="shared" si="9"/>
        <v>2.7777777777777777</v>
      </c>
      <c r="I23">
        <f t="shared" si="3"/>
        <v>0.81</v>
      </c>
    </row>
    <row r="24" spans="1:26" x14ac:dyDescent="0.2">
      <c r="A24">
        <v>0.8</v>
      </c>
      <c r="B24" s="1">
        <v>1584</v>
      </c>
      <c r="C24" s="1">
        <v>4</v>
      </c>
      <c r="D24" s="10">
        <v>8</v>
      </c>
      <c r="E24" s="13">
        <f t="shared" si="6"/>
        <v>0.21333333333333335</v>
      </c>
      <c r="F24" s="14">
        <f t="shared" si="7"/>
        <v>4.6875</v>
      </c>
      <c r="G24" s="15">
        <f t="shared" si="8"/>
        <v>1574.9314024390235</v>
      </c>
      <c r="H24">
        <f t="shared" si="9"/>
        <v>4.6296296296296298</v>
      </c>
      <c r="I24">
        <f t="shared" si="3"/>
        <v>0.81</v>
      </c>
    </row>
    <row r="25" spans="1:26" ht="15.75" thickBot="1" x14ac:dyDescent="0.25">
      <c r="A25">
        <v>0.8</v>
      </c>
      <c r="B25" s="1">
        <v>2415</v>
      </c>
      <c r="C25" s="1">
        <v>10</v>
      </c>
      <c r="D25" s="10">
        <v>12</v>
      </c>
      <c r="E25" s="17">
        <f t="shared" si="6"/>
        <v>0.1391304347826087</v>
      </c>
      <c r="F25" s="18">
        <f t="shared" si="7"/>
        <v>7.1875</v>
      </c>
      <c r="G25" s="19">
        <f t="shared" si="8"/>
        <v>2414.8948170731692</v>
      </c>
      <c r="H25">
        <f t="shared" si="9"/>
        <v>7.098765432098765</v>
      </c>
      <c r="I25">
        <f t="shared" si="3"/>
        <v>0.81</v>
      </c>
    </row>
    <row r="26" spans="1:26" x14ac:dyDescent="0.2">
      <c r="A26">
        <v>0.4</v>
      </c>
      <c r="B26" s="1">
        <v>204</v>
      </c>
      <c r="C26" s="1">
        <v>3</v>
      </c>
      <c r="D26" s="1">
        <v>1</v>
      </c>
      <c r="H26">
        <f t="shared" si="9"/>
        <v>0.6097560975609756</v>
      </c>
      <c r="I26">
        <f t="shared" si="3"/>
        <v>0.41000000000000003</v>
      </c>
    </row>
    <row r="27" spans="1:26" x14ac:dyDescent="0.2">
      <c r="A27">
        <v>0.4</v>
      </c>
      <c r="B27" s="1">
        <v>618</v>
      </c>
      <c r="C27" s="1">
        <v>5</v>
      </c>
      <c r="D27" s="1">
        <v>2</v>
      </c>
      <c r="H27">
        <f t="shared" si="9"/>
        <v>1.8292682926829267</v>
      </c>
      <c r="I27">
        <f t="shared" si="3"/>
        <v>0.41000000000000003</v>
      </c>
    </row>
    <row r="28" spans="1:26" x14ac:dyDescent="0.2">
      <c r="A28">
        <v>0.4</v>
      </c>
      <c r="B28" s="1">
        <v>1028</v>
      </c>
      <c r="C28" s="1">
        <v>6</v>
      </c>
      <c r="D28" s="1">
        <v>3</v>
      </c>
      <c r="H28">
        <f t="shared" si="9"/>
        <v>3.0487804878048776</v>
      </c>
      <c r="I28">
        <f t="shared" si="3"/>
        <v>0.41000000000000003</v>
      </c>
    </row>
    <row r="29" spans="1:26" x14ac:dyDescent="0.2">
      <c r="A29">
        <v>0.4</v>
      </c>
      <c r="B29" s="1">
        <v>1858</v>
      </c>
      <c r="C29" s="1">
        <v>11</v>
      </c>
      <c r="D29" s="1">
        <v>5</v>
      </c>
      <c r="H29">
        <f t="shared" si="9"/>
        <v>5.48780487804878</v>
      </c>
      <c r="I29">
        <f t="shared" si="3"/>
        <v>0.41000000000000003</v>
      </c>
    </row>
    <row r="30" spans="1:26" x14ac:dyDescent="0.2">
      <c r="A30">
        <v>0.4</v>
      </c>
      <c r="B30" s="1">
        <v>2714</v>
      </c>
      <c r="C30" s="1">
        <v>20</v>
      </c>
      <c r="D30" s="1">
        <v>7</v>
      </c>
      <c r="H30">
        <f t="shared" si="9"/>
        <v>7.926829268292682</v>
      </c>
      <c r="I30">
        <f t="shared" si="3"/>
        <v>0.41000000000000003</v>
      </c>
    </row>
    <row r="31" spans="1:26" x14ac:dyDescent="0.2">
      <c r="A31">
        <v>0.3</v>
      </c>
      <c r="B31">
        <v>270</v>
      </c>
      <c r="D31" s="7">
        <v>1</v>
      </c>
      <c r="H31">
        <f>(2*D31-1)/(4*I31)</f>
        <v>0.80645161290322587</v>
      </c>
      <c r="I31">
        <f>A31+0.4*0.025</f>
        <v>0.31</v>
      </c>
    </row>
    <row r="32" spans="1:26" x14ac:dyDescent="0.2">
      <c r="A32">
        <v>0.2</v>
      </c>
      <c r="B32">
        <v>393</v>
      </c>
      <c r="D32" s="7">
        <v>1</v>
      </c>
      <c r="H32">
        <f>(2*D32-1)/(4*I32)</f>
        <v>1.1904761904761905</v>
      </c>
      <c r="I32">
        <f>A32+0.4*0.025</f>
        <v>0.21000000000000002</v>
      </c>
    </row>
    <row r="34" spans="1:11" s="2" customFormat="1" x14ac:dyDescent="0.2">
      <c r="A34" s="2">
        <v>0.88900000000000001</v>
      </c>
      <c r="B34" s="2">
        <v>44.95</v>
      </c>
      <c r="C34" s="2">
        <v>1</v>
      </c>
      <c r="D34" s="8">
        <v>1</v>
      </c>
      <c r="H34" s="2">
        <f>(2*D34-1)/(4*I34)</f>
        <v>0.27808676307007785</v>
      </c>
      <c r="I34" s="2">
        <f>A34+0.4*0.025</f>
        <v>0.89900000000000002</v>
      </c>
      <c r="K34" s="2" t="s">
        <v>58</v>
      </c>
    </row>
    <row r="36" spans="1:11" s="5" customFormat="1" x14ac:dyDescent="0.2">
      <c r="A36" s="5" t="s">
        <v>9</v>
      </c>
      <c r="C36" s="5" t="s">
        <v>10</v>
      </c>
    </row>
    <row r="37" spans="1:11" x14ac:dyDescent="0.2">
      <c r="A37" t="s">
        <v>11</v>
      </c>
      <c r="B37">
        <v>1.46</v>
      </c>
      <c r="C37" t="s">
        <v>12</v>
      </c>
      <c r="D37" s="1" t="s">
        <v>2</v>
      </c>
      <c r="E37" s="1" t="s">
        <v>3</v>
      </c>
      <c r="G37" t="s">
        <v>41</v>
      </c>
      <c r="H37" t="s">
        <v>42</v>
      </c>
      <c r="J37" t="s">
        <v>20</v>
      </c>
      <c r="K37" t="s">
        <v>25</v>
      </c>
    </row>
    <row r="39" spans="1:11" x14ac:dyDescent="0.2">
      <c r="C39">
        <v>108.3</v>
      </c>
      <c r="D39">
        <v>0.5</v>
      </c>
      <c r="E39">
        <v>1</v>
      </c>
      <c r="G39">
        <f>2*B$37/E39</f>
        <v>2.92</v>
      </c>
      <c r="H39">
        <f>1/G39</f>
        <v>0.34246575342465752</v>
      </c>
      <c r="J39">
        <f>H39^2</f>
        <v>0.11728279226871832</v>
      </c>
      <c r="K39">
        <f>H39*C39</f>
        <v>37.089041095890408</v>
      </c>
    </row>
    <row r="40" spans="1:11" x14ac:dyDescent="0.2">
      <c r="C40">
        <v>222</v>
      </c>
      <c r="D40">
        <v>1</v>
      </c>
      <c r="E40">
        <v>2</v>
      </c>
      <c r="G40">
        <f>2*B$37/E40</f>
        <v>1.46</v>
      </c>
      <c r="H40">
        <f t="shared" ref="H40:H47" si="10">1/G40</f>
        <v>0.68493150684931503</v>
      </c>
      <c r="J40">
        <f t="shared" ref="J40:J47" si="11">H40^2</f>
        <v>0.46913116907487329</v>
      </c>
      <c r="K40">
        <f>H40*C40</f>
        <v>152.05479452054794</v>
      </c>
    </row>
    <row r="41" spans="1:11" x14ac:dyDescent="0.2">
      <c r="C41">
        <v>330.6</v>
      </c>
      <c r="D41">
        <v>1</v>
      </c>
      <c r="E41">
        <v>3</v>
      </c>
      <c r="G41">
        <f>2*B$37/E41</f>
        <v>0.97333333333333327</v>
      </c>
      <c r="H41">
        <f t="shared" si="10"/>
        <v>1.0273972602739727</v>
      </c>
      <c r="J41">
        <f t="shared" si="11"/>
        <v>1.0555451304184653</v>
      </c>
      <c r="K41">
        <f>H41*C41</f>
        <v>339.65753424657538</v>
      </c>
    </row>
    <row r="42" spans="1:11" x14ac:dyDescent="0.2">
      <c r="C42">
        <v>439.3</v>
      </c>
      <c r="D42">
        <v>1</v>
      </c>
      <c r="E42">
        <v>4</v>
      </c>
      <c r="G42">
        <f>2*B$37/E42</f>
        <v>0.73</v>
      </c>
      <c r="H42">
        <f t="shared" si="10"/>
        <v>1.3698630136986301</v>
      </c>
      <c r="J42">
        <f t="shared" si="11"/>
        <v>1.8765246762994932</v>
      </c>
      <c r="K42">
        <f>H42*C42</f>
        <v>601.78082191780823</v>
      </c>
    </row>
    <row r="43" spans="1:11" ht="15.75" customHeight="1" x14ac:dyDescent="0.2">
      <c r="C43">
        <v>549</v>
      </c>
      <c r="D43">
        <v>1</v>
      </c>
      <c r="E43">
        <v>5</v>
      </c>
      <c r="G43">
        <f>2*B$37/E43</f>
        <v>0.58399999999999996</v>
      </c>
      <c r="H43">
        <f t="shared" si="10"/>
        <v>1.7123287671232879</v>
      </c>
      <c r="J43">
        <f t="shared" si="11"/>
        <v>2.9320698067179589</v>
      </c>
      <c r="K43">
        <f>H43*C43</f>
        <v>940.06849315068507</v>
      </c>
    </row>
    <row r="44" spans="1:11" x14ac:dyDescent="0.2">
      <c r="C44">
        <v>881.5</v>
      </c>
      <c r="D44">
        <v>1</v>
      </c>
      <c r="E44">
        <v>8</v>
      </c>
      <c r="G44">
        <f>2*B$37/E44</f>
        <v>0.36499999999999999</v>
      </c>
      <c r="H44">
        <f t="shared" si="10"/>
        <v>2.7397260273972601</v>
      </c>
      <c r="J44">
        <f t="shared" si="11"/>
        <v>7.5060987051979726</v>
      </c>
      <c r="K44">
        <f>H44*C44</f>
        <v>2415.0684931506848</v>
      </c>
    </row>
    <row r="45" spans="1:11" x14ac:dyDescent="0.2">
      <c r="C45">
        <v>1321</v>
      </c>
      <c r="D45">
        <v>3</v>
      </c>
      <c r="E45">
        <v>12</v>
      </c>
      <c r="G45">
        <f>2*B$37/E45</f>
        <v>0.24333333333333332</v>
      </c>
      <c r="H45">
        <f t="shared" si="10"/>
        <v>4.1095890410958908</v>
      </c>
      <c r="J45">
        <f t="shared" si="11"/>
        <v>16.888722086695445</v>
      </c>
      <c r="K45">
        <f>H45*C45</f>
        <v>5428.7671232876719</v>
      </c>
    </row>
    <row r="47" spans="1:11" x14ac:dyDescent="0.2">
      <c r="C47">
        <v>5969</v>
      </c>
      <c r="D47">
        <v>10</v>
      </c>
      <c r="E47">
        <v>55</v>
      </c>
      <c r="G47">
        <f>2*B$37/E47</f>
        <v>5.3090909090909091E-2</v>
      </c>
      <c r="H47">
        <f t="shared" si="10"/>
        <v>18.835616438356166</v>
      </c>
      <c r="J47">
        <f t="shared" si="11"/>
        <v>354.78044661287299</v>
      </c>
      <c r="K47">
        <f>H47*C47</f>
        <v>112429.79452054795</v>
      </c>
    </row>
    <row r="49" spans="1:25" s="5" customFormat="1" x14ac:dyDescent="0.2">
      <c r="A49" s="5" t="s">
        <v>43</v>
      </c>
      <c r="C49" s="5">
        <f>SUM(C39:C47)</f>
        <v>9820.7000000000007</v>
      </c>
      <c r="H49" s="5">
        <f>SUM(H39:H47)</f>
        <v>30.82191780821918</v>
      </c>
      <c r="J49" s="5">
        <f>SUM(J39:J47)</f>
        <v>385.62582097954589</v>
      </c>
      <c r="K49" s="5">
        <f>SUM(K39:K47)</f>
        <v>122344.28082191781</v>
      </c>
    </row>
    <row r="51" spans="1:25" x14ac:dyDescent="0.2">
      <c r="B51" t="s">
        <v>26</v>
      </c>
      <c r="C51">
        <f>8*J49-H49^2</f>
        <v>2135.0159504597486</v>
      </c>
      <c r="F51" t="s">
        <v>46</v>
      </c>
      <c r="G51">
        <f>SQRT((5/3)*8.31*297/39)</f>
        <v>10.270008613583386</v>
      </c>
    </row>
    <row r="52" spans="1:25" x14ac:dyDescent="0.2">
      <c r="B52" t="s">
        <v>44</v>
      </c>
      <c r="C52">
        <f>(J49*C49-H49*K49)/C51</f>
        <v>7.6018787079762582</v>
      </c>
    </row>
    <row r="53" spans="1:25" x14ac:dyDescent="0.2">
      <c r="B53" t="s">
        <v>45</v>
      </c>
      <c r="C53">
        <f>(8*K49-C49*H49)/C51</f>
        <v>316.65404570424079</v>
      </c>
    </row>
    <row r="55" spans="1:25" x14ac:dyDescent="0.2">
      <c r="A55" t="s">
        <v>13</v>
      </c>
      <c r="C55" t="s">
        <v>14</v>
      </c>
    </row>
    <row r="56" spans="1:25" x14ac:dyDescent="0.2">
      <c r="A56" t="s">
        <v>11</v>
      </c>
      <c r="B56">
        <v>1.4750000000000001</v>
      </c>
      <c r="C56" t="s">
        <v>1</v>
      </c>
      <c r="D56" t="s">
        <v>15</v>
      </c>
      <c r="E56" t="s">
        <v>16</v>
      </c>
      <c r="G56" t="s">
        <v>17</v>
      </c>
      <c r="H56" t="s">
        <v>18</v>
      </c>
      <c r="K56" s="4" t="s">
        <v>20</v>
      </c>
      <c r="L56" s="4" t="s">
        <v>25</v>
      </c>
      <c r="N56" s="2" t="s">
        <v>29</v>
      </c>
      <c r="O56" s="2" t="s">
        <v>34</v>
      </c>
      <c r="P56" s="2" t="s">
        <v>20</v>
      </c>
      <c r="Q56" s="2" t="s">
        <v>25</v>
      </c>
    </row>
    <row r="57" spans="1:25" x14ac:dyDescent="0.2">
      <c r="A57" t="s">
        <v>31</v>
      </c>
      <c r="K57" s="4"/>
      <c r="L57" s="4"/>
      <c r="N57" s="2"/>
      <c r="O57" s="2"/>
      <c r="P57" s="2"/>
      <c r="Q57" s="2"/>
    </row>
    <row r="58" spans="1:25" x14ac:dyDescent="0.2">
      <c r="A58" t="s">
        <v>30</v>
      </c>
      <c r="C58">
        <v>95.1</v>
      </c>
      <c r="D58">
        <v>0.5</v>
      </c>
      <c r="E58">
        <v>1</v>
      </c>
      <c r="G58">
        <f>96.407*E58-4.0372</f>
        <v>92.369799999999998</v>
      </c>
      <c r="H58">
        <f>(G58-C58)^2/4^2</f>
        <v>0.46587450249999879</v>
      </c>
      <c r="I58">
        <f>H58/10</f>
        <v>4.6587450249999877E-2</v>
      </c>
      <c r="K58" s="4">
        <f>E58^2</f>
        <v>1</v>
      </c>
      <c r="L58" s="4">
        <f>E58*C58</f>
        <v>95.1</v>
      </c>
      <c r="N58" s="2">
        <f>2*B$56/E58</f>
        <v>2.95</v>
      </c>
      <c r="O58" s="2">
        <f>1/N58</f>
        <v>0.33898305084745761</v>
      </c>
      <c r="P58" s="2">
        <f>O58^2</f>
        <v>0.11490950876185003</v>
      </c>
      <c r="Q58" s="2">
        <f>O58*C58</f>
        <v>32.237288135593218</v>
      </c>
    </row>
    <row r="59" spans="1:25" x14ac:dyDescent="0.2">
      <c r="B59" s="3"/>
      <c r="C59">
        <v>187.5</v>
      </c>
      <c r="D59">
        <v>1</v>
      </c>
      <c r="E59">
        <v>2</v>
      </c>
      <c r="G59">
        <f t="shared" ref="G59:G67" si="12">96.407*E59-4.0372</f>
        <v>188.77679999999998</v>
      </c>
      <c r="H59">
        <f t="shared" ref="H59:H67" si="13">(G59-C59)^2/4^2</f>
        <v>0.10188863999999684</v>
      </c>
      <c r="I59">
        <f t="shared" ref="I59:I67" si="14">H59/10</f>
        <v>1.0188863999999683E-2</v>
      </c>
      <c r="K59" s="4">
        <f t="shared" ref="K59:K68" si="15">E59^2</f>
        <v>4</v>
      </c>
      <c r="L59" s="4">
        <f t="shared" ref="L59:L67" si="16">E59*C59</f>
        <v>375</v>
      </c>
      <c r="N59" s="2">
        <f t="shared" ref="N59:N67" si="17">2*B$56/E59</f>
        <v>1.4750000000000001</v>
      </c>
      <c r="O59" s="2">
        <f t="shared" ref="O59:O67" si="18">1/N59</f>
        <v>0.67796610169491522</v>
      </c>
      <c r="P59" s="2">
        <f t="shared" ref="P59:P67" si="19">O59^2</f>
        <v>0.45963803504740014</v>
      </c>
      <c r="Q59" s="2">
        <f t="shared" ref="Q59:Q67" si="20">O59*C59</f>
        <v>127.11864406779661</v>
      </c>
    </row>
    <row r="60" spans="1:25" x14ac:dyDescent="0.2">
      <c r="A60" t="s">
        <v>32</v>
      </c>
      <c r="B60">
        <f>SQRT(B63*8.31*297*1000/36)</f>
        <v>338.02736575608793</v>
      </c>
      <c r="C60">
        <v>288</v>
      </c>
      <c r="D60">
        <v>1</v>
      </c>
      <c r="E60">
        <v>3</v>
      </c>
      <c r="G60">
        <f t="shared" si="12"/>
        <v>285.18380000000002</v>
      </c>
      <c r="H60">
        <f t="shared" si="13"/>
        <v>0.49568640249999324</v>
      </c>
      <c r="I60">
        <f t="shared" si="14"/>
        <v>4.9568640249999324E-2</v>
      </c>
      <c r="K60" s="4">
        <f t="shared" si="15"/>
        <v>9</v>
      </c>
      <c r="L60" s="4">
        <f t="shared" si="16"/>
        <v>864</v>
      </c>
      <c r="N60" s="2">
        <f t="shared" si="17"/>
        <v>0.98333333333333339</v>
      </c>
      <c r="O60" s="2">
        <f t="shared" si="18"/>
        <v>1.0169491525423728</v>
      </c>
      <c r="P60" s="2">
        <f t="shared" si="19"/>
        <v>1.0341855788566503</v>
      </c>
      <c r="Q60" s="2">
        <f t="shared" si="20"/>
        <v>292.88135593220341</v>
      </c>
      <c r="T60" s="2" t="s">
        <v>19</v>
      </c>
      <c r="U60" s="2">
        <f>(U64*U65-U63*U66)/Y60</f>
        <v>-4.0371861158655014</v>
      </c>
      <c r="V60" t="s">
        <v>28</v>
      </c>
      <c r="X60" t="s">
        <v>26</v>
      </c>
      <c r="Y60">
        <f>10*U64-U63^2</f>
        <v>56669</v>
      </c>
    </row>
    <row r="61" spans="1:25" x14ac:dyDescent="0.2">
      <c r="C61">
        <v>383</v>
      </c>
      <c r="D61">
        <v>1</v>
      </c>
      <c r="E61">
        <v>4</v>
      </c>
      <c r="G61">
        <f t="shared" si="12"/>
        <v>381.5908</v>
      </c>
      <c r="H61">
        <f t="shared" si="13"/>
        <v>0.12411528999999973</v>
      </c>
      <c r="I61">
        <f t="shared" si="14"/>
        <v>1.2411528999999973E-2</v>
      </c>
      <c r="K61" s="4">
        <f t="shared" si="15"/>
        <v>16</v>
      </c>
      <c r="L61" s="4">
        <f t="shared" si="16"/>
        <v>1532</v>
      </c>
      <c r="N61" s="2">
        <f t="shared" si="17"/>
        <v>0.73750000000000004</v>
      </c>
      <c r="O61" s="2">
        <f t="shared" si="18"/>
        <v>1.3559322033898304</v>
      </c>
      <c r="P61" s="2">
        <f t="shared" si="19"/>
        <v>1.8385521401896006</v>
      </c>
      <c r="Q61" s="2">
        <f t="shared" si="20"/>
        <v>519.32203389830511</v>
      </c>
      <c r="T61" s="2" t="s">
        <v>27</v>
      </c>
      <c r="U61" s="2">
        <f>(10*U66-U63*U65)/Y60</f>
        <v>96.486969948296235</v>
      </c>
    </row>
    <row r="62" spans="1:25" x14ac:dyDescent="0.2">
      <c r="C62">
        <v>478.7</v>
      </c>
      <c r="D62">
        <v>1</v>
      </c>
      <c r="E62">
        <v>5</v>
      </c>
      <c r="G62">
        <f t="shared" si="12"/>
        <v>477.99779999999998</v>
      </c>
      <c r="H62">
        <f t="shared" si="13"/>
        <v>3.0817802500000425E-2</v>
      </c>
      <c r="I62">
        <f t="shared" si="14"/>
        <v>3.0817802500000425E-3</v>
      </c>
      <c r="K62" s="4">
        <f t="shared" si="15"/>
        <v>25</v>
      </c>
      <c r="L62" s="4">
        <f t="shared" si="16"/>
        <v>2393.5</v>
      </c>
      <c r="N62" s="2">
        <f t="shared" si="17"/>
        <v>0.59000000000000008</v>
      </c>
      <c r="O62" s="2">
        <f t="shared" si="18"/>
        <v>1.6949152542372878</v>
      </c>
      <c r="P62" s="2">
        <f t="shared" si="19"/>
        <v>2.87273771904625</v>
      </c>
      <c r="Q62" s="2">
        <f t="shared" si="20"/>
        <v>811.35593220338967</v>
      </c>
    </row>
    <row r="63" spans="1:25" x14ac:dyDescent="0.2">
      <c r="A63" t="s">
        <v>33</v>
      </c>
      <c r="B63">
        <f>5/3</f>
        <v>1.6666666666666667</v>
      </c>
      <c r="C63">
        <v>574.1</v>
      </c>
      <c r="D63">
        <v>1</v>
      </c>
      <c r="E63">
        <v>6</v>
      </c>
      <c r="G63">
        <f t="shared" si="12"/>
        <v>574.40480000000002</v>
      </c>
      <c r="H63">
        <f t="shared" si="13"/>
        <v>5.8064400000000073E-3</v>
      </c>
      <c r="I63">
        <f t="shared" si="14"/>
        <v>5.8064400000000071E-4</v>
      </c>
      <c r="K63" s="4">
        <f t="shared" si="15"/>
        <v>36</v>
      </c>
      <c r="L63" s="4">
        <f t="shared" si="16"/>
        <v>3444.6000000000004</v>
      </c>
      <c r="N63" s="2">
        <f t="shared" si="17"/>
        <v>0.4916666666666667</v>
      </c>
      <c r="O63" s="2">
        <f t="shared" si="18"/>
        <v>2.0338983050847457</v>
      </c>
      <c r="P63" s="2">
        <f t="shared" si="19"/>
        <v>4.1367423154266012</v>
      </c>
      <c r="Q63" s="2">
        <f t="shared" si="20"/>
        <v>1167.6610169491526</v>
      </c>
      <c r="T63" t="s">
        <v>23</v>
      </c>
      <c r="U63">
        <f>SUM(E58:E67)</f>
        <v>171</v>
      </c>
    </row>
    <row r="64" spans="1:25" x14ac:dyDescent="0.2">
      <c r="C64">
        <v>957.5</v>
      </c>
      <c r="D64">
        <v>1</v>
      </c>
      <c r="E64">
        <v>10</v>
      </c>
      <c r="G64">
        <f t="shared" si="12"/>
        <v>960.03279999999995</v>
      </c>
      <c r="H64">
        <f t="shared" si="13"/>
        <v>0.4009422399999848</v>
      </c>
      <c r="I64">
        <f t="shared" si="14"/>
        <v>4.0094223999998478E-2</v>
      </c>
      <c r="K64" s="4">
        <f t="shared" si="15"/>
        <v>100</v>
      </c>
      <c r="L64" s="4">
        <f t="shared" si="16"/>
        <v>9575</v>
      </c>
      <c r="N64" s="2">
        <f t="shared" si="17"/>
        <v>0.29500000000000004</v>
      </c>
      <c r="O64" s="2">
        <f t="shared" si="18"/>
        <v>3.3898305084745757</v>
      </c>
      <c r="P64" s="2">
        <f t="shared" si="19"/>
        <v>11.490950876185</v>
      </c>
      <c r="Q64" s="2">
        <f t="shared" si="20"/>
        <v>3245.7627118644064</v>
      </c>
      <c r="T64" t="s">
        <v>21</v>
      </c>
      <c r="U64">
        <f>SUM(K58:K67)</f>
        <v>8591</v>
      </c>
    </row>
    <row r="65" spans="3:21" x14ac:dyDescent="0.2">
      <c r="C65">
        <v>1926.5</v>
      </c>
      <c r="D65">
        <v>3</v>
      </c>
      <c r="E65">
        <v>20</v>
      </c>
      <c r="G65">
        <f t="shared" si="12"/>
        <v>1924.1027999999999</v>
      </c>
      <c r="H65">
        <f t="shared" si="13"/>
        <v>0.35916049000003347</v>
      </c>
      <c r="I65">
        <f t="shared" si="14"/>
        <v>3.591604900000335E-2</v>
      </c>
      <c r="K65" s="4">
        <f t="shared" si="15"/>
        <v>400</v>
      </c>
      <c r="L65" s="4">
        <f t="shared" si="16"/>
        <v>38530</v>
      </c>
      <c r="N65" s="2">
        <f t="shared" si="17"/>
        <v>0.14750000000000002</v>
      </c>
      <c r="O65" s="2">
        <f t="shared" si="18"/>
        <v>6.7796610169491514</v>
      </c>
      <c r="P65" s="2">
        <f t="shared" si="19"/>
        <v>45.96380350474</v>
      </c>
      <c r="Q65" s="2">
        <f t="shared" si="20"/>
        <v>13061.016949152539</v>
      </c>
      <c r="T65" t="s">
        <v>22</v>
      </c>
      <c r="U65">
        <f>SUM(C58:C67)</f>
        <v>16458.900000000001</v>
      </c>
    </row>
    <row r="66" spans="3:21" x14ac:dyDescent="0.2">
      <c r="C66">
        <v>3851.5</v>
      </c>
      <c r="D66">
        <v>2</v>
      </c>
      <c r="E66">
        <v>40</v>
      </c>
      <c r="G66">
        <f t="shared" si="12"/>
        <v>3852.2427999999995</v>
      </c>
      <c r="H66">
        <f t="shared" si="13"/>
        <v>3.4484489999956694E-2</v>
      </c>
      <c r="I66">
        <f t="shared" si="14"/>
        <v>3.4484489999956694E-3</v>
      </c>
      <c r="K66" s="4">
        <f t="shared" si="15"/>
        <v>1600</v>
      </c>
      <c r="L66" s="4">
        <f t="shared" si="16"/>
        <v>154060</v>
      </c>
      <c r="N66" s="2">
        <f t="shared" si="17"/>
        <v>7.375000000000001E-2</v>
      </c>
      <c r="O66" s="2">
        <f t="shared" si="18"/>
        <v>13.559322033898303</v>
      </c>
      <c r="P66" s="2">
        <f t="shared" si="19"/>
        <v>183.85521401896</v>
      </c>
      <c r="Q66" s="2">
        <f t="shared" si="20"/>
        <v>52223.728813559312</v>
      </c>
      <c r="T66" t="s">
        <v>24</v>
      </c>
      <c r="U66">
        <f>SUM(L58:L67)</f>
        <v>828229.2</v>
      </c>
    </row>
    <row r="67" spans="3:21" x14ac:dyDescent="0.2">
      <c r="C67">
        <v>7717</v>
      </c>
      <c r="D67">
        <v>5</v>
      </c>
      <c r="E67">
        <v>80</v>
      </c>
      <c r="G67">
        <f t="shared" si="12"/>
        <v>7708.5227999999997</v>
      </c>
      <c r="H67">
        <f t="shared" si="13"/>
        <v>4.4914324900002818</v>
      </c>
      <c r="I67">
        <f t="shared" si="14"/>
        <v>0.44914324900002817</v>
      </c>
      <c r="K67" s="4">
        <f t="shared" si="15"/>
        <v>6400</v>
      </c>
      <c r="L67" s="4">
        <f t="shared" si="16"/>
        <v>617360</v>
      </c>
      <c r="N67" s="2">
        <f t="shared" si="17"/>
        <v>3.6875000000000005E-2</v>
      </c>
      <c r="O67" s="2">
        <f t="shared" si="18"/>
        <v>27.118644067796605</v>
      </c>
      <c r="P67" s="2">
        <f t="shared" si="19"/>
        <v>735.42085607583999</v>
      </c>
      <c r="Q67" s="2">
        <f t="shared" si="20"/>
        <v>209274.57627118641</v>
      </c>
    </row>
    <row r="68" spans="3:21" x14ac:dyDescent="0.2">
      <c r="H68">
        <f>SUM(H58:H67)</f>
        <v>6.510208787500245</v>
      </c>
      <c r="I68">
        <f>H68/10</f>
        <v>0.65102087875002446</v>
      </c>
    </row>
    <row r="70" spans="3:21" x14ac:dyDescent="0.2">
      <c r="M70" t="s">
        <v>36</v>
      </c>
      <c r="N70">
        <f>SUM(O58:O67)</f>
        <v>57.966101694915238</v>
      </c>
    </row>
    <row r="71" spans="3:21" x14ac:dyDescent="0.2">
      <c r="M71" t="s">
        <v>35</v>
      </c>
      <c r="N71">
        <f>SUM(P58:P67)</f>
        <v>987.18758977305333</v>
      </c>
    </row>
    <row r="72" spans="3:21" x14ac:dyDescent="0.2">
      <c r="M72" t="s">
        <v>37</v>
      </c>
      <c r="N72">
        <f>SUM(C58:C67)</f>
        <v>16458.900000000001</v>
      </c>
    </row>
    <row r="73" spans="3:21" x14ac:dyDescent="0.2">
      <c r="M73" t="s">
        <v>38</v>
      </c>
      <c r="N73">
        <f>SUM(Q58:Q67)</f>
        <v>280755.6610169491</v>
      </c>
    </row>
    <row r="76" spans="3:21" x14ac:dyDescent="0.2">
      <c r="M76" t="s">
        <v>39</v>
      </c>
      <c r="N76">
        <f>(N71*N72-N73*N70)/N78</f>
        <v>-4.0371861158653202</v>
      </c>
    </row>
    <row r="77" spans="3:21" x14ac:dyDescent="0.2">
      <c r="M77" t="s">
        <v>40</v>
      </c>
      <c r="N77">
        <f>(10*N73-N70*N72)/N78</f>
        <v>284.63656134747396</v>
      </c>
    </row>
    <row r="78" spans="3:21" x14ac:dyDescent="0.2">
      <c r="M78" t="s">
        <v>26</v>
      </c>
      <c r="N78">
        <f>10*N71-N70^2</f>
        <v>6511.8069520252775</v>
      </c>
    </row>
  </sheetData>
  <phoneticPr fontId="2" type="noConversion"/>
  <pageMargins left="0.7" right="0.7" top="0.75" bottom="0.75" header="0.3" footer="0.3"/>
  <pageSetup orientation="portrait" horizontalDpi="90" verticalDpi="9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07F8D585FFEC48B5D48AAECB67FAA6" ma:contentTypeVersion="5" ma:contentTypeDescription="Creare un nuovo documento." ma:contentTypeScope="" ma:versionID="0f0713393b05cda888a5e7e102b30231">
  <xsd:schema xmlns:xsd="http://www.w3.org/2001/XMLSchema" xmlns:xs="http://www.w3.org/2001/XMLSchema" xmlns:p="http://schemas.microsoft.com/office/2006/metadata/properties" xmlns:ns3="f985ec05-fa56-48d1-a148-c9337d7f2b35" xmlns:ns4="c749ac55-9d7d-4f50-bc9b-d05d935bb989" targetNamespace="http://schemas.microsoft.com/office/2006/metadata/properties" ma:root="true" ma:fieldsID="a84131cd00331da23e449dc1f4a8fd23" ns3:_="" ns4:_="">
    <xsd:import namespace="f985ec05-fa56-48d1-a148-c9337d7f2b35"/>
    <xsd:import namespace="c749ac55-9d7d-4f50-bc9b-d05d935bb98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85ec05-fa56-48d1-a148-c9337d7f2b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49ac55-9d7d-4f50-bc9b-d05d935bb98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suggerimento condivisione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3D8F7B4-1C59-4DB4-A0FB-1E0168DC63B3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f985ec05-fa56-48d1-a148-c9337d7f2b35"/>
    <ds:schemaRef ds:uri="c749ac55-9d7d-4f50-bc9b-d05d935bb989"/>
  </ds:schemaRefs>
</ds:datastoreItem>
</file>

<file path=customXml/itemProps2.xml><?xml version="1.0" encoding="utf-8"?>
<ds:datastoreItem xmlns:ds="http://schemas.openxmlformats.org/officeDocument/2006/customXml" ds:itemID="{CD353604-454C-4FCE-9B82-B7F61B6A3067}">
  <ds:schemaRefs>
    <ds:schemaRef ds:uri="http://schemas.microsoft.com/office/2006/metadata/properties"/>
    <ds:schemaRef ds:uri="http://www.w3.org/2000/xmlns/"/>
  </ds:schemaRefs>
</ds:datastoreItem>
</file>

<file path=customXml/itemProps3.xml><?xml version="1.0" encoding="utf-8"?>
<ds:datastoreItem xmlns:ds="http://schemas.openxmlformats.org/officeDocument/2006/customXml" ds:itemID="{730247B7-5244-4FA2-BEE9-CC087F9DE86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c.rainoldi2@campus.unimib.it</dc:creator>
  <cp:keywords/>
  <dc:description/>
  <cp:lastModifiedBy>Alessio Martini</cp:lastModifiedBy>
  <cp:revision/>
  <dcterms:created xsi:type="dcterms:W3CDTF">2021-04-27T12:01:07Z</dcterms:created>
  <dcterms:modified xsi:type="dcterms:W3CDTF">2021-04-30T14:52:18Z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0x010100BA07F8D585FFEC48B5D48AAECB67FAA6</vt:lpwstr>
  </property>
</Properties>
</file>