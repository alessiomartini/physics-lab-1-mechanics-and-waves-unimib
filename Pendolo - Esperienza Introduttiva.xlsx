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ibit-my.sharepoint.com/personal/a_martini25_campus_unimib_it/Documents/"/>
    </mc:Choice>
  </mc:AlternateContent>
  <xr:revisionPtr revIDLastSave="551" documentId="8_{D21CD6AB-0381-4DEB-80B6-05EF216A0D8E}" xr6:coauthVersionLast="46" xr6:coauthVersionMax="46" xr10:uidLastSave="{D4829591-5345-46A4-948D-AA953E5D41F7}"/>
  <bookViews>
    <workbookView xWindow="1464" yWindow="1464" windowWidth="17280" windowHeight="8964" activeTab="1" xr2:uid="{1A2C36ED-C74A-43B6-A0CE-8E6946ECC73E}"/>
  </bookViews>
  <sheets>
    <sheet name="Dati Ordinati" sheetId="1" r:id="rId1"/>
    <sheet name="Brain-Storm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G2" i="3" s="1"/>
  <c r="J2" i="3" s="1"/>
  <c r="F2" i="3"/>
  <c r="H2" i="3" s="1"/>
  <c r="F3" i="3"/>
  <c r="G3" i="3"/>
  <c r="F9" i="3"/>
  <c r="F10" i="3"/>
  <c r="L29" i="3"/>
  <c r="E36" i="3"/>
  <c r="E37" i="3"/>
  <c r="F37" i="3"/>
  <c r="N37" i="3"/>
  <c r="E38" i="3"/>
  <c r="F38" i="3"/>
  <c r="H37" i="3" s="1"/>
  <c r="E39" i="3"/>
  <c r="E40" i="3"/>
  <c r="E41" i="3"/>
  <c r="E42" i="3"/>
  <c r="E43" i="3"/>
  <c r="E44" i="3"/>
  <c r="E45" i="3"/>
  <c r="H49" i="3"/>
  <c r="M53" i="3" s="1"/>
  <c r="E50" i="3"/>
  <c r="H51" i="3" s="1"/>
  <c r="L53" i="3" s="1"/>
  <c r="E51" i="3"/>
  <c r="N51" i="3"/>
  <c r="E52" i="3"/>
  <c r="M52" i="3"/>
  <c r="Q52" i="3" s="1"/>
  <c r="E53" i="3"/>
  <c r="E54" i="3"/>
  <c r="E55" i="3"/>
  <c r="M55" i="3"/>
  <c r="P63" i="3" s="1"/>
  <c r="Q55" i="3"/>
  <c r="E56" i="3"/>
  <c r="E57" i="3"/>
  <c r="M57" i="3"/>
  <c r="P65" i="3" s="1"/>
  <c r="E58" i="3"/>
  <c r="E59" i="3"/>
  <c r="H62" i="3"/>
  <c r="M54" i="3" s="1"/>
  <c r="E63" i="3"/>
  <c r="E64" i="3"/>
  <c r="E65" i="3"/>
  <c r="E66" i="3"/>
  <c r="E67" i="3"/>
  <c r="E68" i="3"/>
  <c r="E69" i="3"/>
  <c r="E70" i="3"/>
  <c r="E71" i="3"/>
  <c r="E72" i="3"/>
  <c r="H75" i="3"/>
  <c r="E76" i="3"/>
  <c r="E77" i="3"/>
  <c r="E78" i="3"/>
  <c r="E79" i="3"/>
  <c r="E80" i="3"/>
  <c r="E81" i="3"/>
  <c r="E82" i="3"/>
  <c r="E83" i="3"/>
  <c r="E84" i="3"/>
  <c r="E85" i="3"/>
  <c r="H88" i="3"/>
  <c r="M56" i="3" s="1"/>
  <c r="E89" i="3"/>
  <c r="E90" i="3"/>
  <c r="E91" i="3"/>
  <c r="E92" i="3"/>
  <c r="E93" i="3"/>
  <c r="E94" i="3"/>
  <c r="E95" i="3"/>
  <c r="E96" i="3"/>
  <c r="E97" i="3"/>
  <c r="E98" i="3"/>
  <c r="H101" i="3"/>
  <c r="E102" i="3"/>
  <c r="E103" i="3"/>
  <c r="E104" i="3"/>
  <c r="E105" i="3"/>
  <c r="E106" i="3"/>
  <c r="Q53" i="3" l="1"/>
  <c r="P61" i="3"/>
  <c r="H77" i="3"/>
  <c r="L55" i="3" s="1"/>
  <c r="P55" i="3" s="1"/>
  <c r="H64" i="3"/>
  <c r="L54" i="3" s="1"/>
  <c r="H103" i="3"/>
  <c r="L57" i="3" s="1"/>
  <c r="P57" i="3" s="1"/>
  <c r="F5" i="3"/>
  <c r="G9" i="3" s="1"/>
  <c r="J37" i="3"/>
  <c r="L37" i="3" s="1"/>
  <c r="H90" i="3"/>
  <c r="L56" i="3" s="1"/>
  <c r="Q56" i="3"/>
  <c r="P64" i="3"/>
  <c r="O65" i="3"/>
  <c r="N57" i="3"/>
  <c r="O61" i="3"/>
  <c r="N53" i="3"/>
  <c r="P53" i="3"/>
  <c r="N54" i="3"/>
  <c r="P54" i="3"/>
  <c r="O62" i="3"/>
  <c r="P56" i="3"/>
  <c r="O64" i="3"/>
  <c r="N56" i="3"/>
  <c r="P62" i="3"/>
  <c r="Q54" i="3"/>
  <c r="Q57" i="3"/>
  <c r="L52" i="3"/>
  <c r="P60" i="3"/>
  <c r="N40" i="3"/>
  <c r="D34" i="1"/>
  <c r="DO9" i="1"/>
  <c r="DO5" i="1"/>
  <c r="DO6" i="1"/>
  <c r="DP6" i="1" s="1"/>
  <c r="DO7" i="1"/>
  <c r="DP7" i="1" s="1"/>
  <c r="DO8" i="1"/>
  <c r="DO4" i="1"/>
  <c r="DP5" i="1"/>
  <c r="DP8" i="1"/>
  <c r="DP9" i="1"/>
  <c r="DP4" i="1"/>
  <c r="DC4" i="1"/>
  <c r="DC5" i="1"/>
  <c r="DD5" i="1" s="1"/>
  <c r="DH5" i="1" s="1"/>
  <c r="DK5" i="1" s="1"/>
  <c r="DC6" i="1"/>
  <c r="DC7" i="1"/>
  <c r="DD7" i="1" s="1"/>
  <c r="DC8" i="1"/>
  <c r="DC9" i="1"/>
  <c r="DD9" i="1" s="1"/>
  <c r="DH9" i="1" s="1"/>
  <c r="CX12" i="1"/>
  <c r="CV5" i="1"/>
  <c r="CV6" i="1"/>
  <c r="CV7" i="1"/>
  <c r="CV8" i="1"/>
  <c r="CV9" i="1"/>
  <c r="CV4" i="1"/>
  <c r="CT5" i="1"/>
  <c r="CT6" i="1"/>
  <c r="CT7" i="1"/>
  <c r="CT8" i="1"/>
  <c r="CT9" i="1"/>
  <c r="CT4" i="1"/>
  <c r="CP5" i="1"/>
  <c r="CP6" i="1"/>
  <c r="CP7" i="1"/>
  <c r="CP8" i="1"/>
  <c r="CP9" i="1"/>
  <c r="CP4" i="1"/>
  <c r="CB5" i="1"/>
  <c r="CB6" i="1"/>
  <c r="CB7" i="1"/>
  <c r="CB8" i="1"/>
  <c r="CB4" i="1"/>
  <c r="BO13" i="1"/>
  <c r="BO12" i="1"/>
  <c r="BO11" i="1"/>
  <c r="BO10" i="1"/>
  <c r="BO9" i="1"/>
  <c r="BO8" i="1"/>
  <c r="BO7" i="1"/>
  <c r="BO6" i="1"/>
  <c r="BO5" i="1"/>
  <c r="BO4" i="1"/>
  <c r="BB13" i="1"/>
  <c r="BB12" i="1"/>
  <c r="BB11" i="1"/>
  <c r="BB10" i="1"/>
  <c r="BB9" i="1"/>
  <c r="BB8" i="1"/>
  <c r="BB7" i="1"/>
  <c r="BB6" i="1"/>
  <c r="BB5" i="1"/>
  <c r="BB4" i="1"/>
  <c r="AO13" i="1"/>
  <c r="AO12" i="1"/>
  <c r="AO11" i="1"/>
  <c r="AO10" i="1"/>
  <c r="AO9" i="1"/>
  <c r="AO8" i="1"/>
  <c r="AO7" i="1"/>
  <c r="AO6" i="1"/>
  <c r="AO5" i="1"/>
  <c r="AO4" i="1"/>
  <c r="AB5" i="1"/>
  <c r="AB13" i="1"/>
  <c r="AB12" i="1"/>
  <c r="AB11" i="1"/>
  <c r="AB10" i="1"/>
  <c r="AB9" i="1"/>
  <c r="AB8" i="1"/>
  <c r="AB7" i="1"/>
  <c r="AB6" i="1"/>
  <c r="AB4" i="1"/>
  <c r="O13" i="1"/>
  <c r="O12" i="1"/>
  <c r="O11" i="1"/>
  <c r="O10" i="1"/>
  <c r="O9" i="1"/>
  <c r="O8" i="1"/>
  <c r="O7" i="1"/>
  <c r="O6" i="1"/>
  <c r="O5" i="1"/>
  <c r="O4" i="1"/>
  <c r="I4" i="1" a="1"/>
  <c r="I4" i="1" s="1"/>
  <c r="D31" i="1"/>
  <c r="D28" i="1"/>
  <c r="D10" i="1"/>
  <c r="D13" i="1" s="1"/>
  <c r="D7" i="1"/>
  <c r="D22" i="1" s="1"/>
  <c r="D25" i="1" s="1"/>
  <c r="F14" i="3" l="1"/>
  <c r="E15" i="3" s="1"/>
  <c r="H9" i="3"/>
  <c r="O63" i="3"/>
  <c r="N55" i="3"/>
  <c r="I9" i="3"/>
  <c r="G14" i="3"/>
  <c r="E16" i="3" s="1"/>
  <c r="P52" i="3"/>
  <c r="O60" i="3"/>
  <c r="N52" i="3"/>
  <c r="H15" i="3"/>
  <c r="N17" i="3" s="1"/>
  <c r="G15" i="3"/>
  <c r="L17" i="3"/>
  <c r="D37" i="1"/>
  <c r="CT10" i="1"/>
  <c r="DD8" i="1"/>
  <c r="DH8" i="1" s="1"/>
  <c r="DK8" i="1" s="1"/>
  <c r="DM8" i="1" s="1"/>
  <c r="DQ4" i="1"/>
  <c r="DQ9" i="1"/>
  <c r="DQ8" i="1"/>
  <c r="DQ5" i="1"/>
  <c r="DQ7" i="1"/>
  <c r="DQ6" i="1"/>
  <c r="DH7" i="1"/>
  <c r="DK7" i="1" s="1"/>
  <c r="DM7" i="1" s="1"/>
  <c r="CT11" i="1"/>
  <c r="Q10" i="1"/>
  <c r="CZ6" i="1" s="1"/>
  <c r="BQ10" i="1"/>
  <c r="CD10" i="1"/>
  <c r="I25" i="1"/>
  <c r="I23" i="1"/>
  <c r="I33" i="1"/>
  <c r="I24" i="1"/>
  <c r="DD6" i="1"/>
  <c r="DH6" i="1" s="1"/>
  <c r="DK6" i="1" s="1"/>
  <c r="DM6" i="1" s="1"/>
  <c r="I32" i="1"/>
  <c r="I27" i="1"/>
  <c r="I28" i="1"/>
  <c r="I30" i="1"/>
  <c r="I34" i="1"/>
  <c r="I29" i="1"/>
  <c r="I22" i="1"/>
  <c r="DD4" i="1"/>
  <c r="DH4" i="1" s="1"/>
  <c r="DK4" i="1" s="1"/>
  <c r="DM4" i="1" s="1"/>
  <c r="I26" i="1"/>
  <c r="I31" i="1"/>
  <c r="DK9" i="1"/>
  <c r="DM9" i="1" s="1"/>
  <c r="DM5" i="1"/>
  <c r="BD31" i="1"/>
  <c r="CD31" i="1"/>
  <c r="AD28" i="1"/>
  <c r="AG4" i="1" s="1"/>
  <c r="Q13" i="1"/>
  <c r="T5" i="1" s="1"/>
  <c r="BQ31" i="1"/>
  <c r="AQ31" i="1"/>
  <c r="AQ28" i="1"/>
  <c r="AT4" i="1" s="1"/>
  <c r="CD7" i="1"/>
  <c r="CD22" i="1" s="1"/>
  <c r="CD25" i="1" s="1"/>
  <c r="CD28" i="1"/>
  <c r="BQ7" i="1"/>
  <c r="BQ22" i="1" s="1"/>
  <c r="BQ25" i="1" s="1"/>
  <c r="BQ28" i="1"/>
  <c r="BD7" i="1"/>
  <c r="BD28" i="1"/>
  <c r="BD10" i="1"/>
  <c r="CZ7" i="1" s="1"/>
  <c r="AQ7" i="1"/>
  <c r="AQ10" i="1"/>
  <c r="CZ8" i="1" s="1"/>
  <c r="AD31" i="1"/>
  <c r="AD34" i="1" s="1"/>
  <c r="AD10" i="1"/>
  <c r="CZ9" i="1" s="1"/>
  <c r="AD7" i="1"/>
  <c r="Q16" i="1"/>
  <c r="Q31" i="1"/>
  <c r="Q7" i="1"/>
  <c r="Q28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D16" i="1"/>
  <c r="G16" i="3" l="1"/>
  <c r="L18" i="3"/>
  <c r="H16" i="3"/>
  <c r="N18" i="3" s="1"/>
  <c r="J9" i="3"/>
  <c r="H14" i="3"/>
  <c r="E17" i="3" s="1"/>
  <c r="Q34" i="1"/>
  <c r="Q37" i="1" s="1"/>
  <c r="AD37" i="1"/>
  <c r="AQ34" i="1"/>
  <c r="AQ37" i="1" s="1"/>
  <c r="BQ34" i="1"/>
  <c r="BQ37" i="1" s="1"/>
  <c r="CD34" i="1"/>
  <c r="CD37" i="1" s="1"/>
  <c r="BD34" i="1"/>
  <c r="BD37" i="1" s="1"/>
  <c r="CZ5" i="1"/>
  <c r="CZ4" i="1"/>
  <c r="DB16" i="1" s="1"/>
  <c r="DC16" i="1" s="1"/>
  <c r="CI27" i="1"/>
  <c r="AW4" i="1"/>
  <c r="CI22" i="1"/>
  <c r="BV24" i="1"/>
  <c r="BV26" i="1"/>
  <c r="BV29" i="1"/>
  <c r="BV23" i="1"/>
  <c r="BV30" i="1"/>
  <c r="BV22" i="1"/>
  <c r="CI24" i="1"/>
  <c r="AQ22" i="1"/>
  <c r="AQ25" i="1" s="1"/>
  <c r="AV31" i="1"/>
  <c r="AV34" i="1"/>
  <c r="AV26" i="1"/>
  <c r="AV33" i="1"/>
  <c r="AV25" i="1"/>
  <c r="AV32" i="1"/>
  <c r="AV24" i="1"/>
  <c r="AV23" i="1"/>
  <c r="AV30" i="1"/>
  <c r="AV22" i="1"/>
  <c r="AV29" i="1"/>
  <c r="AV28" i="1"/>
  <c r="AV27" i="1"/>
  <c r="CI31" i="1"/>
  <c r="G30" i="1"/>
  <c r="H32" i="1" s="1"/>
  <c r="Q22" i="1"/>
  <c r="Q25" i="1" s="1"/>
  <c r="V22" i="1"/>
  <c r="CI23" i="1"/>
  <c r="CI25" i="1"/>
  <c r="BV28" i="1"/>
  <c r="CI26" i="1"/>
  <c r="CI32" i="1"/>
  <c r="CI33" i="1"/>
  <c r="CI30" i="1"/>
  <c r="BV31" i="1"/>
  <c r="BV27" i="1"/>
  <c r="BD22" i="1"/>
  <c r="BD25" i="1" s="1"/>
  <c r="BI29" i="1"/>
  <c r="BI28" i="1"/>
  <c r="BI27" i="1"/>
  <c r="BI26" i="1"/>
  <c r="BI33" i="1"/>
  <c r="BI25" i="1"/>
  <c r="BI32" i="1"/>
  <c r="BI24" i="1"/>
  <c r="BI31" i="1"/>
  <c r="BI23" i="1"/>
  <c r="BI30" i="1"/>
  <c r="BI22" i="1"/>
  <c r="H25" i="1"/>
  <c r="AD22" i="1"/>
  <c r="AD25" i="1" s="1"/>
  <c r="AI22" i="1"/>
  <c r="AI29" i="1"/>
  <c r="AI28" i="1"/>
  <c r="AI27" i="1"/>
  <c r="AI26" i="1"/>
  <c r="AI25" i="1"/>
  <c r="AI32" i="1"/>
  <c r="AI24" i="1"/>
  <c r="AI31" i="1"/>
  <c r="AI23" i="1"/>
  <c r="AI30" i="1"/>
  <c r="CI29" i="1"/>
  <c r="CI28" i="1"/>
  <c r="BV25" i="1"/>
  <c r="V23" i="1"/>
  <c r="AJ4" i="1"/>
  <c r="AJ5" i="1" s="1"/>
  <c r="AJ6" i="1" s="1"/>
  <c r="AJ7" i="1" s="1"/>
  <c r="AJ8" i="1" s="1"/>
  <c r="AJ9" i="1" s="1"/>
  <c r="AJ10" i="1" s="1"/>
  <c r="AJ11" i="1" s="1"/>
  <c r="T6" i="1"/>
  <c r="T7" i="1" s="1"/>
  <c r="T8" i="1" s="1"/>
  <c r="T9" i="1" s="1"/>
  <c r="BG4" i="1"/>
  <c r="BJ4" i="1"/>
  <c r="W4" i="1"/>
  <c r="W5" i="1" s="1"/>
  <c r="W6" i="1" s="1"/>
  <c r="W7" i="1" s="1"/>
  <c r="W8" i="1" s="1"/>
  <c r="W9" i="1" s="1"/>
  <c r="W10" i="1" s="1"/>
  <c r="W11" i="1" s="1"/>
  <c r="W12" i="1" s="1"/>
  <c r="W13" i="1" s="1"/>
  <c r="CJ4" i="1"/>
  <c r="CG4" i="1"/>
  <c r="BW4" i="1"/>
  <c r="BT4" i="1"/>
  <c r="CD13" i="1"/>
  <c r="CD16" i="1"/>
  <c r="BQ16" i="1"/>
  <c r="BQ13" i="1"/>
  <c r="BD16" i="1"/>
  <c r="BD13" i="1"/>
  <c r="AQ16" i="1"/>
  <c r="AQ13" i="1"/>
  <c r="AW5" i="1" s="1"/>
  <c r="AW6" i="1" s="1"/>
  <c r="AW7" i="1" s="1"/>
  <c r="AW8" i="1" s="1"/>
  <c r="AW9" i="1" s="1"/>
  <c r="AD13" i="1"/>
  <c r="AG5" i="1" s="1"/>
  <c r="AD16" i="1"/>
  <c r="G17" i="3" l="1"/>
  <c r="L19" i="3"/>
  <c r="H17" i="3"/>
  <c r="N19" i="3" s="1"/>
  <c r="K9" i="3"/>
  <c r="J14" i="3" s="1"/>
  <c r="E19" i="3" s="1"/>
  <c r="I14" i="3"/>
  <c r="E18" i="3" s="1"/>
  <c r="CJ5" i="1"/>
  <c r="CJ6" i="1" s="1"/>
  <c r="CJ7" i="1" s="1"/>
  <c r="CJ8" i="1" s="1"/>
  <c r="H23" i="1"/>
  <c r="H30" i="1"/>
  <c r="H24" i="1"/>
  <c r="H27" i="1"/>
  <c r="H31" i="1"/>
  <c r="H34" i="1"/>
  <c r="H33" i="1"/>
  <c r="H22" i="1"/>
  <c r="V4" i="1" a="1"/>
  <c r="V4" i="1" s="1"/>
  <c r="H28" i="1"/>
  <c r="H26" i="1"/>
  <c r="H29" i="1"/>
  <c r="CG5" i="1"/>
  <c r="V24" i="1"/>
  <c r="AG6" i="1"/>
  <c r="AG7" i="1" s="1"/>
  <c r="AG8" i="1" s="1"/>
  <c r="AG9" i="1" s="1"/>
  <c r="AG10" i="1" s="1"/>
  <c r="AG11" i="1" s="1"/>
  <c r="AI4" i="1" a="1"/>
  <c r="AI4" i="1" s="1"/>
  <c r="CG6" i="1"/>
  <c r="CG7" i="1" s="1"/>
  <c r="CG8" i="1" s="1"/>
  <c r="BJ5" i="1"/>
  <c r="BJ6" i="1" s="1"/>
  <c r="BJ7" i="1" s="1"/>
  <c r="BJ8" i="1" s="1"/>
  <c r="BJ9" i="1" s="1"/>
  <c r="BT5" i="1"/>
  <c r="BG5" i="1"/>
  <c r="BW5" i="1"/>
  <c r="BW6" i="1" s="1"/>
  <c r="BW7" i="1" s="1"/>
  <c r="BW8" i="1" s="1"/>
  <c r="BW9" i="1" s="1"/>
  <c r="BW10" i="1" s="1"/>
  <c r="AT5" i="1"/>
  <c r="H19" i="3" l="1"/>
  <c r="N21" i="3" s="1"/>
  <c r="L21" i="3"/>
  <c r="G19" i="3"/>
  <c r="G18" i="3"/>
  <c r="H18" i="3"/>
  <c r="N20" i="3" s="1"/>
  <c r="L20" i="3"/>
  <c r="L9" i="3"/>
  <c r="G26" i="1"/>
  <c r="CI4" i="1" a="1"/>
  <c r="CI4" i="1" s="1"/>
  <c r="BT6" i="1"/>
  <c r="BT7" i="1" s="1"/>
  <c r="BT8" i="1" s="1"/>
  <c r="BT9" i="1" s="1"/>
  <c r="BT10" i="1" s="1"/>
  <c r="V25" i="1"/>
  <c r="BG6" i="1"/>
  <c r="BG7" i="1" s="1"/>
  <c r="BG8" i="1" s="1"/>
  <c r="BG9" i="1" s="1"/>
  <c r="AT6" i="1"/>
  <c r="AT7" i="1" s="1"/>
  <c r="AT8" i="1" s="1"/>
  <c r="AT9" i="1" s="1"/>
  <c r="M9" i="3" l="1"/>
  <c r="K14" i="3"/>
  <c r="E20" i="3" s="1"/>
  <c r="BV4" i="1" a="1"/>
  <c r="BV4" i="1" s="1"/>
  <c r="V26" i="1"/>
  <c r="BI4" i="1" a="1"/>
  <c r="BI4" i="1" s="1"/>
  <c r="AV4" i="1" a="1"/>
  <c r="AV4" i="1" s="1"/>
  <c r="N9" i="3" l="1"/>
  <c r="L22" i="3"/>
  <c r="H20" i="3"/>
  <c r="N22" i="3" s="1"/>
  <c r="G20" i="3"/>
  <c r="L14" i="3"/>
  <c r="E21" i="3" s="1"/>
  <c r="V27" i="1"/>
  <c r="O9" i="3" l="1"/>
  <c r="N14" i="3"/>
  <c r="E23" i="3" s="1"/>
  <c r="G21" i="3"/>
  <c r="L23" i="3"/>
  <c r="H21" i="3"/>
  <c r="N23" i="3" s="1"/>
  <c r="M14" i="3"/>
  <c r="E22" i="3" s="1"/>
  <c r="V28" i="1"/>
  <c r="G22" i="3" l="1"/>
  <c r="H22" i="3"/>
  <c r="N24" i="3" s="1"/>
  <c r="L24" i="3"/>
  <c r="H23" i="3"/>
  <c r="N25" i="3" s="1"/>
  <c r="L25" i="3"/>
  <c r="G23" i="3"/>
  <c r="P9" i="3"/>
  <c r="O14" i="3"/>
  <c r="E24" i="3" s="1"/>
  <c r="V29" i="1"/>
  <c r="L26" i="3" l="1"/>
  <c r="H24" i="3"/>
  <c r="N26" i="3" s="1"/>
  <c r="G24" i="3"/>
  <c r="Q9" i="3"/>
  <c r="V30" i="1"/>
  <c r="V31" i="1"/>
  <c r="R9" i="3" l="1"/>
  <c r="F15" i="3" s="1" a="1"/>
  <c r="P14" i="3"/>
  <c r="E25" i="3" s="1"/>
  <c r="G25" i="3" l="1"/>
  <c r="L27" i="3"/>
  <c r="H25" i="3"/>
  <c r="N27" i="3" s="1"/>
  <c r="M20" i="3"/>
  <c r="M24" i="3"/>
  <c r="M19" i="3"/>
  <c r="M23" i="3"/>
  <c r="M28" i="3"/>
  <c r="F15" i="3"/>
  <c r="M21" i="3"/>
  <c r="M25" i="3"/>
  <c r="M27" i="3"/>
  <c r="M18" i="3"/>
  <c r="M22" i="3"/>
  <c r="M26" i="3"/>
  <c r="Q14" i="3"/>
  <c r="E26" i="3" s="1"/>
  <c r="G26" i="3" l="1"/>
  <c r="L28" i="3"/>
  <c r="H26" i="3"/>
  <c r="N28" i="3" s="1"/>
  <c r="M17" i="3"/>
  <c r="G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<sst xmlns="http://schemas.openxmlformats.org/spreadsheetml/2006/main" count="219" uniqueCount="90">
  <si>
    <t xml:space="preserve">100 Misurazioni </t>
  </si>
  <si>
    <t>10 Misurazioni 17,78 cm</t>
  </si>
  <si>
    <t>10 Misurazioni 62,98 cm</t>
  </si>
  <si>
    <t>10 Misurazioni 54,88 cm</t>
  </si>
  <si>
    <t>10 Misurazioni 31,78 cm</t>
  </si>
  <si>
    <t>10 Misurazioni 12,78 cm</t>
  </si>
  <si>
    <t>Misurazioni 3,78 cm</t>
  </si>
  <si>
    <t>Grafici</t>
  </si>
  <si>
    <t>raggio</t>
  </si>
  <si>
    <t>massa</t>
  </si>
  <si>
    <t>MOMENTO di INERZIA</t>
  </si>
  <si>
    <t>ml^2 + 2/5 *M*r^2</t>
  </si>
  <si>
    <t>Misure:</t>
  </si>
  <si>
    <t>Lunghezza pendolo:</t>
  </si>
  <si>
    <t>Intervalli:</t>
  </si>
  <si>
    <t>Frequenza:</t>
  </si>
  <si>
    <t>Valori medi:</t>
  </si>
  <si>
    <t>Lunghezza</t>
  </si>
  <si>
    <t>ln lungh</t>
  </si>
  <si>
    <t>Periodo</t>
  </si>
  <si>
    <t>Periodo^2</t>
  </si>
  <si>
    <t>ln periodo</t>
  </si>
  <si>
    <t>Dev std</t>
  </si>
  <si>
    <t>X^2</t>
  </si>
  <si>
    <t>Angolo</t>
  </si>
  <si>
    <t>periodo</t>
  </si>
  <si>
    <t>periodo angolo grosso</t>
  </si>
  <si>
    <t>angolo grosso</t>
  </si>
  <si>
    <t>differenza periodi</t>
  </si>
  <si>
    <t>periodo corretto</t>
  </si>
  <si>
    <t>g corretto</t>
  </si>
  <si>
    <t>I</t>
  </si>
  <si>
    <t>periodo ideale</t>
  </si>
  <si>
    <t>diff periodo ideale</t>
  </si>
  <si>
    <t xml:space="preserve">0,004709034	</t>
  </si>
  <si>
    <t xml:space="preserve">0,01054356	</t>
  </si>
  <si>
    <t>Media aritmetica:</t>
  </si>
  <si>
    <t xml:space="preserve">0,007152311	</t>
  </si>
  <si>
    <t xml:space="preserve">0,008707596	</t>
  </si>
  <si>
    <t xml:space="preserve">0,006915361	</t>
  </si>
  <si>
    <t>Deviazione Standard:</t>
  </si>
  <si>
    <t xml:space="preserve">0,006306963	</t>
  </si>
  <si>
    <t>previsione lineare</t>
  </si>
  <si>
    <t>non sono trascurabili</t>
  </si>
  <si>
    <t>sono trascurabili</t>
  </si>
  <si>
    <t>Coefficiente Angolare</t>
  </si>
  <si>
    <t>Dev Standard/2:</t>
  </si>
  <si>
    <t>G ricavata:</t>
  </si>
  <si>
    <t>G reale:</t>
  </si>
  <si>
    <t>test del X^2</t>
  </si>
  <si>
    <t>Errore Standard:</t>
  </si>
  <si>
    <t>X^2=</t>
  </si>
  <si>
    <t>x^2 RID.</t>
  </si>
  <si>
    <t>compatibile con le misure eseguite</t>
  </si>
  <si>
    <t>Accelerazione G reale:</t>
  </si>
  <si>
    <t>Accelerazione G:</t>
  </si>
  <si>
    <t>Freq2</t>
  </si>
  <si>
    <t>Frequenza ideale:</t>
  </si>
  <si>
    <t>Errore Percentuale:</t>
  </si>
  <si>
    <t>Minimo:</t>
  </si>
  <si>
    <t>Massimo:</t>
  </si>
  <si>
    <t>Incertezza/Errore Assoluto:</t>
  </si>
  <si>
    <t>Errore Relativo:</t>
  </si>
  <si>
    <t>media:</t>
  </si>
  <si>
    <t>lunghezza</t>
  </si>
  <si>
    <t>Pendolo 5</t>
  </si>
  <si>
    <t>Pendolo 4</t>
  </si>
  <si>
    <t>Pendolo 3</t>
  </si>
  <si>
    <t>log</t>
  </si>
  <si>
    <t xml:space="preserve">periodo^2 </t>
  </si>
  <si>
    <t>Pendolo 2</t>
  </si>
  <si>
    <t>errore pendlo:</t>
  </si>
  <si>
    <t>Lunghezza pemdlo ideale:</t>
  </si>
  <si>
    <t>periodo ideale:</t>
  </si>
  <si>
    <t>err stand:</t>
  </si>
  <si>
    <t>dev stanmd:</t>
  </si>
  <si>
    <t>G:</t>
  </si>
  <si>
    <t>misure</t>
  </si>
  <si>
    <t>MISURE DA 10 OSCILLAZ</t>
  </si>
  <si>
    <t>NO</t>
  </si>
  <si>
    <t>minore uguale 0,75</t>
  </si>
  <si>
    <t>colonna</t>
  </si>
  <si>
    <t>max</t>
  </si>
  <si>
    <t>min</t>
  </si>
  <si>
    <t>errore in percentuale</t>
  </si>
  <si>
    <t>err standard</t>
  </si>
  <si>
    <t>G</t>
  </si>
  <si>
    <t>dev stand</t>
  </si>
  <si>
    <t>media</t>
  </si>
  <si>
    <t>lungezza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</si>
</sst>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3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Alignment="1"/>
    <xf numFmtId="0" fontId="0" fillId="3" borderId="0" xfId="0" applyFill="1" applyAlignment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5" fillId="6" borderId="0" xfId="0" applyFont="1" applyFill="1"/>
    <xf numFmtId="0" fontId="0" fillId="7" borderId="0" xfId="0" applyFill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freq2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Ordinati'!$J$22:$J$34</c:f>
              <c:numCache>
                <c:formatCode>General</c:formatCode>
                <c:ptCount val="13"/>
                <c:pt idx="0">
                  <c:v>0.75931420523672954</c:v>
                </c:pt>
                <c:pt idx="1">
                  <c:v>0.77794261571018852</c:v>
                </c:pt>
                <c:pt idx="2">
                  <c:v>0.7965710261836475</c:v>
                </c:pt>
                <c:pt idx="3">
                  <c:v>0.81519943665710648</c:v>
                </c:pt>
                <c:pt idx="4">
                  <c:v>0.83382784713056546</c:v>
                </c:pt>
                <c:pt idx="5">
                  <c:v>0.85245625760402444</c:v>
                </c:pt>
                <c:pt idx="6">
                  <c:v>0.87108466807748341</c:v>
                </c:pt>
                <c:pt idx="7">
                  <c:v>0.88971307855094239</c:v>
                </c:pt>
                <c:pt idx="8">
                  <c:v>0.90834148902440137</c:v>
                </c:pt>
                <c:pt idx="9">
                  <c:v>0.92696989949786035</c:v>
                </c:pt>
                <c:pt idx="10">
                  <c:v>0.94559830997131933</c:v>
                </c:pt>
                <c:pt idx="11">
                  <c:v>0.96422672044477831</c:v>
                </c:pt>
                <c:pt idx="12">
                  <c:v>0.98285513091823729</c:v>
                </c:pt>
              </c:numCache>
            </c:numRef>
          </c:xVal>
          <c:yVal>
            <c:numRef>
              <c:f>'Dati Ordinati'!$H$22:$H$34</c:f>
              <c:numCache>
                <c:formatCode>General</c:formatCode>
                <c:ptCount val="13"/>
                <c:pt idx="0">
                  <c:v>0.22513992841677288</c:v>
                </c:pt>
                <c:pt idx="1">
                  <c:v>0.88824162006278562</c:v>
                </c:pt>
                <c:pt idx="2">
                  <c:v>2.7292045942704353</c:v>
                </c:pt>
                <c:pt idx="3">
                  <c:v>6.5308159987407457</c:v>
                </c:pt>
                <c:pt idx="4">
                  <c:v>12.170969715922554</c:v>
                </c:pt>
                <c:pt idx="5">
                  <c:v>17.66482320129467</c:v>
                </c:pt>
                <c:pt idx="6">
                  <c:v>19.967320457104705</c:v>
                </c:pt>
                <c:pt idx="7">
                  <c:v>17.577481940729307</c:v>
                </c:pt>
                <c:pt idx="8">
                  <c:v>12.050911923258775</c:v>
                </c:pt>
                <c:pt idx="9">
                  <c:v>6.4344220469552953</c:v>
                </c:pt>
                <c:pt idx="10">
                  <c:v>2.6756269071171599</c:v>
                </c:pt>
                <c:pt idx="11">
                  <c:v>0.86649875933528975</c:v>
                </c:pt>
                <c:pt idx="12">
                  <c:v>0.21854290679149443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5A7-44DA-B775-D6C3179D5131}"/>
            </c:ext>
          </c:extLst>
        </c:ser>
        <c:ser>
          <c:idx val="1"/>
          <c:order val="1"/>
          <c:spPr>
            <a:ln w="31750" cap="rnd">
              <a:noFill/>
              <a:round/>
            </a:ln>
            <a:effectLst/>
          </c:spPr>
          <c:marker>
            <c:symbol val="none"/>
          </c:marker>
          <c:xVal>
            <c:numRef>
              <c:f>'Dati Ordinati'!$J$22:$J$34</c:f>
              <c:numCache>
                <c:formatCode>General</c:formatCode>
                <c:ptCount val="13"/>
                <c:pt idx="0">
                  <c:v>0.75931420523672954</c:v>
                </c:pt>
                <c:pt idx="1">
                  <c:v>0.77794261571018852</c:v>
                </c:pt>
                <c:pt idx="2">
                  <c:v>0.7965710261836475</c:v>
                </c:pt>
                <c:pt idx="3">
                  <c:v>0.81519943665710648</c:v>
                </c:pt>
                <c:pt idx="4">
                  <c:v>0.83382784713056546</c:v>
                </c:pt>
                <c:pt idx="5">
                  <c:v>0.85245625760402444</c:v>
                </c:pt>
                <c:pt idx="6">
                  <c:v>0.87108466807748341</c:v>
                </c:pt>
                <c:pt idx="7">
                  <c:v>0.88971307855094239</c:v>
                </c:pt>
                <c:pt idx="8">
                  <c:v>0.90834148902440137</c:v>
                </c:pt>
                <c:pt idx="9">
                  <c:v>0.92696989949786035</c:v>
                </c:pt>
                <c:pt idx="10">
                  <c:v>0.94559830997131933</c:v>
                </c:pt>
                <c:pt idx="11">
                  <c:v>0.96422672044477831</c:v>
                </c:pt>
                <c:pt idx="12">
                  <c:v>0.98285513091823729</c:v>
                </c:pt>
              </c:numCache>
            </c:numRef>
          </c:xVal>
          <c:yVal>
            <c:numRef>
              <c:f>'Dati Ordinati'!$I$22:$I$34</c:f>
              <c:numCache>
                <c:formatCode>General</c:formatCode>
                <c:ptCount val="13"/>
                <c:pt idx="0">
                  <c:v>0.12073457896547674</c:v>
                </c:pt>
                <c:pt idx="1">
                  <c:v>0.47633255803195818</c:v>
                </c:pt>
                <c:pt idx="2">
                  <c:v>1.4635758744220038</c:v>
                </c:pt>
                <c:pt idx="3">
                  <c:v>3.502245583241558</c:v>
                </c:pt>
                <c:pt idx="4">
                  <c:v>6.5268604933251071</c:v>
                </c:pt>
                <c:pt idx="5">
                  <c:v>9.4730197646674164</c:v>
                </c:pt>
                <c:pt idx="6">
                  <c:v>10.707767588850698</c:v>
                </c:pt>
                <c:pt idx="7">
                  <c:v>9.4261817364472407</c:v>
                </c:pt>
                <c:pt idx="8">
                  <c:v>6.4624777463342982</c:v>
                </c:pt>
                <c:pt idx="9">
                  <c:v>3.450552916971847</c:v>
                </c:pt>
                <c:pt idx="10">
                  <c:v>1.4348440561884115</c:v>
                </c:pt>
                <c:pt idx="11">
                  <c:v>0.46467263100835315</c:v>
                </c:pt>
                <c:pt idx="12">
                  <c:v>0.11719682964684099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5A7-44DA-B775-D6C3179D5131}"/>
            </c:ext>
          </c:extLst>
        </c:ser>
        <c:ser>
          <c:idx val="2"/>
          <c:order val="2"/>
          <c:tx>
            <c:strRef>
              <c:f>'Dati Ordinati'!$J$4:$J$15</c:f>
              <c:strCache>
                <c:ptCount val="12"/>
                <c:pt idx="0">
                  <c:v>0,759314205</c:v>
                </c:pt>
                <c:pt idx="1">
                  <c:v>0,777942616</c:v>
                </c:pt>
                <c:pt idx="2">
                  <c:v>0,796571026</c:v>
                </c:pt>
                <c:pt idx="3">
                  <c:v>0,815199437</c:v>
                </c:pt>
                <c:pt idx="4">
                  <c:v>0,833827847</c:v>
                </c:pt>
                <c:pt idx="5">
                  <c:v>0,852456258</c:v>
                </c:pt>
                <c:pt idx="6">
                  <c:v>0,871084668</c:v>
                </c:pt>
                <c:pt idx="7">
                  <c:v>0,889713079</c:v>
                </c:pt>
                <c:pt idx="8">
                  <c:v>0,908341489</c:v>
                </c:pt>
                <c:pt idx="9">
                  <c:v>0,926969899</c:v>
                </c:pt>
                <c:pt idx="10">
                  <c:v>0,94559831</c:v>
                </c:pt>
                <c:pt idx="11">
                  <c:v>0,96422672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'Dati Ordinati'!$J$4:$J$15</c:f>
              <c:numCache>
                <c:formatCode>General</c:formatCode>
                <c:ptCount val="12"/>
                <c:pt idx="0">
                  <c:v>0.75931420523672954</c:v>
                </c:pt>
                <c:pt idx="1">
                  <c:v>0.77794261571018852</c:v>
                </c:pt>
                <c:pt idx="2">
                  <c:v>0.7965710261836475</c:v>
                </c:pt>
                <c:pt idx="3">
                  <c:v>0.81519943665710648</c:v>
                </c:pt>
                <c:pt idx="4">
                  <c:v>0.83382784713056546</c:v>
                </c:pt>
                <c:pt idx="5">
                  <c:v>0.85245625760402444</c:v>
                </c:pt>
                <c:pt idx="6">
                  <c:v>0.87108466807748341</c:v>
                </c:pt>
                <c:pt idx="7">
                  <c:v>0.88971307855094239</c:v>
                </c:pt>
                <c:pt idx="8">
                  <c:v>0.90834148902440137</c:v>
                </c:pt>
                <c:pt idx="9">
                  <c:v>0.92696989949786035</c:v>
                </c:pt>
                <c:pt idx="10">
                  <c:v>0.94559830997131933</c:v>
                </c:pt>
                <c:pt idx="11">
                  <c:v>0.96422672044477831</c:v>
                </c:pt>
              </c:numCache>
            </c:numRef>
          </c:xVal>
          <c:yVal>
            <c:numRef>
              <c:f>'Dati Ordinati'!$I$4:$I$15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6</c:v>
                </c:pt>
                <c:pt idx="7">
                  <c:v>25</c:v>
                </c:pt>
                <c:pt idx="8">
                  <c:v>16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3-44CB-A503-D51012286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0.97399999999999998"/>
          <c:min val="0.749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*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'Dati Ordinati'!$CN$4:$CN$9</c:f>
              <c:numCache>
                <c:formatCode>General</c:formatCode>
                <c:ptCount val="6"/>
                <c:pt idx="0">
                  <c:v>3.78E-2</c:v>
                </c:pt>
                <c:pt idx="1">
                  <c:v>0.1278</c:v>
                </c:pt>
                <c:pt idx="2">
                  <c:v>0.17780000000000001</c:v>
                </c:pt>
                <c:pt idx="3">
                  <c:v>0.31780000000000003</c:v>
                </c:pt>
                <c:pt idx="4">
                  <c:v>0.54880000000000007</c:v>
                </c:pt>
                <c:pt idx="5">
                  <c:v>0.62979999999999992</c:v>
                </c:pt>
              </c:numCache>
            </c:numRef>
          </c:xVal>
          <c:yVal>
            <c:numRef>
              <c:f>'Dati Ordinati'!$CR$4:$CR$9</c:f>
              <c:numCache>
                <c:formatCode>General</c:formatCode>
                <c:ptCount val="6"/>
                <c:pt idx="0">
                  <c:v>0.38659999999999994</c:v>
                </c:pt>
                <c:pt idx="1">
                  <c:v>0.72950000000000004</c:v>
                </c:pt>
                <c:pt idx="2">
                  <c:v>0.87159999999999993</c:v>
                </c:pt>
                <c:pt idx="3">
                  <c:v>1.1325999999999996</c:v>
                </c:pt>
                <c:pt idx="4">
                  <c:v>1.4816</c:v>
                </c:pt>
                <c:pt idx="5">
                  <c:v>1.5840000000000001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2-4AAD-AE2E-C0937288A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019439"/>
        <c:axId val="446019023"/>
      </c:scatterChart>
      <c:valAx>
        <c:axId val="44601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19023"/>
        <c:crosses val="autoZero"/>
        <c:crossBetween val="midCat"/>
      </c:valAx>
      <c:valAx>
        <c:axId val="4460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1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* t^2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'Dati Ordinati'!$CN$4:$CN$9</c:f>
              <c:numCache>
                <c:formatCode>General</c:formatCode>
                <c:ptCount val="6"/>
                <c:pt idx="0">
                  <c:v>3.78E-2</c:v>
                </c:pt>
                <c:pt idx="1">
                  <c:v>0.1278</c:v>
                </c:pt>
                <c:pt idx="2">
                  <c:v>0.17780000000000001</c:v>
                </c:pt>
                <c:pt idx="3">
                  <c:v>0.31780000000000003</c:v>
                </c:pt>
                <c:pt idx="4">
                  <c:v>0.54880000000000007</c:v>
                </c:pt>
                <c:pt idx="5">
                  <c:v>0.62979999999999992</c:v>
                </c:pt>
              </c:numCache>
            </c:numRef>
          </c:xVal>
          <c:yVal>
            <c:numRef>
              <c:f>'Dati Ordinati'!$CT$4:$CT$9</c:f>
              <c:numCache>
                <c:formatCode>General</c:formatCode>
                <c:ptCount val="6"/>
                <c:pt idx="0">
                  <c:v>0.14945955999999996</c:v>
                </c:pt>
                <c:pt idx="1">
                  <c:v>0.53217025000000007</c:v>
                </c:pt>
                <c:pt idx="2">
                  <c:v>0.7596865599999999</c:v>
                </c:pt>
                <c:pt idx="3">
                  <c:v>1.282782759999999</c:v>
                </c:pt>
                <c:pt idx="4">
                  <c:v>2.1951385600000002</c:v>
                </c:pt>
                <c:pt idx="5">
                  <c:v>2.5090560000000002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9-4E73-A19A-51757AE6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648095"/>
        <c:axId val="590648511"/>
      </c:scatterChart>
      <c:valAx>
        <c:axId val="59064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48511"/>
        <c:crosses val="autoZero"/>
        <c:crossBetween val="midCat"/>
      </c:valAx>
      <c:valAx>
        <c:axId val="5906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4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l * ln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'Dati Ordinati'!$CP$4:$CP$9</c:f>
              <c:numCache>
                <c:formatCode>General</c:formatCode>
                <c:ptCount val="6"/>
                <c:pt idx="0">
                  <c:v>-1.4225082001627747</c:v>
                </c:pt>
                <c:pt idx="1">
                  <c:v>-0.89346914617761863</c:v>
                </c:pt>
                <c:pt idx="2">
                  <c:v>-0.75006824336580513</c:v>
                </c:pt>
                <c:pt idx="3">
                  <c:v>-0.49784610712863919</c:v>
                </c:pt>
                <c:pt idx="4">
                  <c:v>-0.26058589730130466</c:v>
                </c:pt>
                <c:pt idx="5">
                  <c:v>-0.20079734369947497</c:v>
                </c:pt>
              </c:numCache>
            </c:numRef>
          </c:xVal>
          <c:yVal>
            <c:numRef>
              <c:f>'Dati Ordinati'!$CV$4:$CV$9</c:f>
              <c:numCache>
                <c:formatCode>General</c:formatCode>
                <c:ptCount val="6"/>
                <c:pt idx="0">
                  <c:v>-0.41273815030746586</c:v>
                </c:pt>
                <c:pt idx="1">
                  <c:v>-0.13697470377052956</c:v>
                </c:pt>
                <c:pt idx="2">
                  <c:v>-5.968277842578202E-2</c:v>
                </c:pt>
                <c:pt idx="3">
                  <c:v>5.4076557290510183E-2</c:v>
                </c:pt>
                <c:pt idx="4">
                  <c:v>0.17073096933785911</c:v>
                </c:pt>
                <c:pt idx="5">
                  <c:v>0.19975517725347472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7-40DE-AE31-3FCECD9D4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495759"/>
        <c:axId val="1437494511"/>
      </c:scatterChart>
      <c:valAx>
        <c:axId val="14374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94511"/>
        <c:crosses val="autoZero"/>
        <c:crossBetween val="midCat"/>
      </c:valAx>
      <c:valAx>
        <c:axId val="14374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Ordinati'!$W$4:$W$10</c:f>
              <c:numCache>
                <c:formatCode>General</c:formatCode>
                <c:ptCount val="7"/>
                <c:pt idx="0">
                  <c:v>0.86578807780094225</c:v>
                </c:pt>
                <c:pt idx="1">
                  <c:v>0.86936423340282654</c:v>
                </c:pt>
                <c:pt idx="2">
                  <c:v>0.87294038900471083</c:v>
                </c:pt>
                <c:pt idx="3">
                  <c:v>0.87651654460659512</c:v>
                </c:pt>
                <c:pt idx="4">
                  <c:v>0.88009270020847941</c:v>
                </c:pt>
                <c:pt idx="5">
                  <c:v>0.8836688558103637</c:v>
                </c:pt>
                <c:pt idx="6">
                  <c:v>0.88724501141224799</c:v>
                </c:pt>
              </c:numCache>
            </c:numRef>
          </c:xVal>
          <c:yVal>
            <c:numRef>
              <c:f>'Dati Ordinati'!$V$4:$V$10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B-47A1-81C4-EA87BBC746D0}"/>
            </c:ext>
          </c:extLst>
        </c:ser>
        <c:ser>
          <c:idx val="1"/>
          <c:order val="1"/>
          <c:tx>
            <c:v>serie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Ordinati'!$W$22:$W$31</c:f>
              <c:numCache>
                <c:formatCode>General</c:formatCode>
                <c:ptCount val="10"/>
                <c:pt idx="0">
                  <c:v>0.86578807780094225</c:v>
                </c:pt>
                <c:pt idx="1">
                  <c:v>0.86936423340282654</c:v>
                </c:pt>
                <c:pt idx="2">
                  <c:v>0.87294038900471083</c:v>
                </c:pt>
                <c:pt idx="3">
                  <c:v>0.87651654460659512</c:v>
                </c:pt>
                <c:pt idx="4">
                  <c:v>0.88009270020847941</c:v>
                </c:pt>
                <c:pt idx="5">
                  <c:v>0.8836688558103637</c:v>
                </c:pt>
                <c:pt idx="6">
                  <c:v>0.88724501141224799</c:v>
                </c:pt>
                <c:pt idx="7">
                  <c:v>0.89082116701413228</c:v>
                </c:pt>
                <c:pt idx="8">
                  <c:v>0.89439732261601657</c:v>
                </c:pt>
                <c:pt idx="9">
                  <c:v>0.89797347821790086</c:v>
                </c:pt>
              </c:numCache>
            </c:numRef>
          </c:xVal>
          <c:yVal>
            <c:numRef>
              <c:f>'Dati Ordinati'!$V$22:$V$31</c:f>
              <c:numCache>
                <c:formatCode>General</c:formatCode>
                <c:ptCount val="10"/>
                <c:pt idx="0">
                  <c:v>40.094013310977246</c:v>
                </c:pt>
                <c:pt idx="1">
                  <c:v>53.118423225002857</c:v>
                </c:pt>
                <c:pt idx="2">
                  <c:v>54.807147470912916</c:v>
                </c:pt>
                <c:pt idx="3">
                  <c:v>44.040840915834259</c:v>
                </c:pt>
                <c:pt idx="4">
                  <c:v>27.561343642795606</c:v>
                </c:pt>
                <c:pt idx="5">
                  <c:v>13.432954657389825</c:v>
                </c:pt>
                <c:pt idx="6">
                  <c:v>5.0988130782924834</c:v>
                </c:pt>
                <c:pt idx="7">
                  <c:v>1.5072767943161813</c:v>
                </c:pt>
                <c:pt idx="8">
                  <c:v>0.34701105785414721</c:v>
                </c:pt>
                <c:pt idx="9">
                  <c:v>6.2218565675759514E-2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B-47A1-81C4-EA87BBC7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0.89800000000000013"/>
          <c:min val="0.864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Ordinati'!$AJ$4:$AJ$11</c:f>
              <c:numCache>
                <c:formatCode>General</c:formatCode>
                <c:ptCount val="8"/>
                <c:pt idx="0">
                  <c:v>1.5725767406607023</c:v>
                </c:pt>
                <c:pt idx="1">
                  <c:v>1.5761528962625866</c:v>
                </c:pt>
                <c:pt idx="2">
                  <c:v>1.5797290518644709</c:v>
                </c:pt>
                <c:pt idx="3">
                  <c:v>1.5833052074663552</c:v>
                </c:pt>
                <c:pt idx="4">
                  <c:v>1.5868813630682395</c:v>
                </c:pt>
                <c:pt idx="5">
                  <c:v>1.5904575186701237</c:v>
                </c:pt>
                <c:pt idx="6">
                  <c:v>1.594033674272008</c:v>
                </c:pt>
                <c:pt idx="7">
                  <c:v>1.5976098298738923</c:v>
                </c:pt>
              </c:numCache>
            </c:numRef>
          </c:xVal>
          <c:yVal>
            <c:numRef>
              <c:f>'Dati Ordinati'!$AI$4:$AI$11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6-4CBF-9332-35FDBCA7BDA0}"/>
            </c:ext>
          </c:extLst>
        </c:ser>
        <c:ser>
          <c:idx val="1"/>
          <c:order val="1"/>
          <c:tx>
            <c:v>serie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Ordinati'!$AJ$22:$AJ$32</c:f>
              <c:numCache>
                <c:formatCode>General</c:formatCode>
                <c:ptCount val="11"/>
                <c:pt idx="0">
                  <c:v>1.5725767406607023</c:v>
                </c:pt>
                <c:pt idx="1">
                  <c:v>1.5761528962625866</c:v>
                </c:pt>
                <c:pt idx="2">
                  <c:v>1.5797290518644709</c:v>
                </c:pt>
                <c:pt idx="3">
                  <c:v>1.5833052074663552</c:v>
                </c:pt>
                <c:pt idx="4">
                  <c:v>1.5868813630682395</c:v>
                </c:pt>
                <c:pt idx="5">
                  <c:v>1.5904575186701237</c:v>
                </c:pt>
                <c:pt idx="6">
                  <c:v>1.594033674272008</c:v>
                </c:pt>
                <c:pt idx="7">
                  <c:v>1.5976098298738923</c:v>
                </c:pt>
                <c:pt idx="8">
                  <c:v>1.6011859854757766</c:v>
                </c:pt>
                <c:pt idx="9">
                  <c:v>1.6047621410776609</c:v>
                </c:pt>
                <c:pt idx="10">
                  <c:v>1.6083382966795452</c:v>
                </c:pt>
              </c:numCache>
            </c:numRef>
          </c:xVal>
          <c:yVal>
            <c:numRef>
              <c:f>'Dati Ordinati'!$AI$22:$AI$32</c:f>
              <c:numCache>
                <c:formatCode>General</c:formatCode>
                <c:ptCount val="11"/>
                <c:pt idx="0">
                  <c:v>12.267020206637685</c:v>
                </c:pt>
                <c:pt idx="1">
                  <c:v>29.170254410857812</c:v>
                </c:pt>
                <c:pt idx="2">
                  <c:v>50.293520606722133</c:v>
                </c:pt>
                <c:pt idx="3">
                  <c:v>62.871604455278415</c:v>
                </c:pt>
                <c:pt idx="4">
                  <c:v>56.985942284384237</c:v>
                </c:pt>
                <c:pt idx="5">
                  <c:v>37.449981631875069</c:v>
                </c:pt>
                <c:pt idx="6">
                  <c:v>17.844573354832676</c:v>
                </c:pt>
                <c:pt idx="7">
                  <c:v>6.164976329783336</c:v>
                </c:pt>
                <c:pt idx="8">
                  <c:v>1.5442846079013914</c:v>
                </c:pt>
                <c:pt idx="9">
                  <c:v>0.2804748709313365</c:v>
                </c:pt>
                <c:pt idx="10">
                  <c:v>3.6934417631796793E-2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56-4CBF-9332-35FDBCA7B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1.6080000000000001"/>
          <c:min val="1.5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Ordinati'!$AW$4:$AW$9</c:f>
              <c:strCache>
                <c:ptCount val="6"/>
                <c:pt idx="0">
                  <c:v>1,47372884</c:v>
                </c:pt>
                <c:pt idx="1">
                  <c:v>1,477186521</c:v>
                </c:pt>
                <c:pt idx="2">
                  <c:v>1,480644202</c:v>
                </c:pt>
                <c:pt idx="3">
                  <c:v>1,484101882</c:v>
                </c:pt>
                <c:pt idx="4">
                  <c:v>1,487559563</c:v>
                </c:pt>
                <c:pt idx="5">
                  <c:v>1,491017244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Ordinati'!$AW$4:$AW$9</c:f>
              <c:numCache>
                <c:formatCode>General</c:formatCode>
                <c:ptCount val="6"/>
                <c:pt idx="0">
                  <c:v>1.4737288403306519</c:v>
                </c:pt>
                <c:pt idx="1">
                  <c:v>1.4771865209919559</c:v>
                </c:pt>
                <c:pt idx="2">
                  <c:v>1.4806442016532599</c:v>
                </c:pt>
                <c:pt idx="3">
                  <c:v>1.484101882314564</c:v>
                </c:pt>
                <c:pt idx="4">
                  <c:v>1.487559562975868</c:v>
                </c:pt>
                <c:pt idx="5">
                  <c:v>1.491017243637172</c:v>
                </c:pt>
              </c:numCache>
            </c:numRef>
          </c:xVal>
          <c:yVal>
            <c:numRef>
              <c:f>'Dati Ordinati'!$AV$4:$AV$9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3-4A48-87C5-5FAE494B8C84}"/>
            </c:ext>
          </c:extLst>
        </c:ser>
        <c:ser>
          <c:idx val="1"/>
          <c:order val="1"/>
          <c:tx>
            <c:strRef>
              <c:f>'Dati Ordinati'!$AW$22:$AW$34</c:f>
              <c:strCache>
                <c:ptCount val="13"/>
                <c:pt idx="0">
                  <c:v>1,47372884</c:v>
                </c:pt>
                <c:pt idx="1">
                  <c:v>1,477186521</c:v>
                </c:pt>
                <c:pt idx="2">
                  <c:v>1,480644202</c:v>
                </c:pt>
                <c:pt idx="3">
                  <c:v>1,484101882</c:v>
                </c:pt>
                <c:pt idx="4">
                  <c:v>1,487559563</c:v>
                </c:pt>
                <c:pt idx="5">
                  <c:v>1,491017244</c:v>
                </c:pt>
                <c:pt idx="6">
                  <c:v>1,494474924</c:v>
                </c:pt>
                <c:pt idx="7">
                  <c:v>1,497932605</c:v>
                </c:pt>
                <c:pt idx="8">
                  <c:v>1,501390286</c:v>
                </c:pt>
                <c:pt idx="9">
                  <c:v>1,504847966</c:v>
                </c:pt>
                <c:pt idx="10">
                  <c:v>1,508305647</c:v>
                </c:pt>
                <c:pt idx="11">
                  <c:v>1,511763328</c:v>
                </c:pt>
                <c:pt idx="12">
                  <c:v>1,515221008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Ordinati'!$AW$22:$AW$34</c:f>
              <c:numCache>
                <c:formatCode>General</c:formatCode>
                <c:ptCount val="13"/>
                <c:pt idx="0">
                  <c:v>1.4737288403306519</c:v>
                </c:pt>
                <c:pt idx="1">
                  <c:v>1.4771865209919559</c:v>
                </c:pt>
                <c:pt idx="2">
                  <c:v>1.4806442016532599</c:v>
                </c:pt>
                <c:pt idx="3">
                  <c:v>1.484101882314564</c:v>
                </c:pt>
                <c:pt idx="4">
                  <c:v>1.487559562975868</c:v>
                </c:pt>
                <c:pt idx="5">
                  <c:v>1.491017243637172</c:v>
                </c:pt>
                <c:pt idx="6">
                  <c:v>1.4944749242984761</c:v>
                </c:pt>
                <c:pt idx="7">
                  <c:v>1.4979326049597801</c:v>
                </c:pt>
                <c:pt idx="8">
                  <c:v>1.5013902856210841</c:v>
                </c:pt>
                <c:pt idx="9">
                  <c:v>1.5048479662823881</c:v>
                </c:pt>
                <c:pt idx="10">
                  <c:v>1.5083056469436922</c:v>
                </c:pt>
                <c:pt idx="11">
                  <c:v>1.5117633276049962</c:v>
                </c:pt>
                <c:pt idx="12">
                  <c:v>1.5152210082663002</c:v>
                </c:pt>
              </c:numCache>
            </c:numRef>
          </c:xVal>
          <c:yVal>
            <c:numRef>
              <c:f>'Dati Ordinati'!$AV$22:$AV$34</c:f>
              <c:numCache>
                <c:formatCode>General</c:formatCode>
                <c:ptCount val="13"/>
                <c:pt idx="0">
                  <c:v>30.183825639652028</c:v>
                </c:pt>
                <c:pt idx="1">
                  <c:v>47.059516287614727</c:v>
                </c:pt>
                <c:pt idx="2">
                  <c:v>57.140891754613385</c:v>
                </c:pt>
                <c:pt idx="3">
                  <c:v>54.034725338821175</c:v>
                </c:pt>
                <c:pt idx="4">
                  <c:v>39.794702494191434</c:v>
                </c:pt>
                <c:pt idx="5">
                  <c:v>22.824641019007398</c:v>
                </c:pt>
                <c:pt idx="6">
                  <c:v>10.19551173401921</c:v>
                </c:pt>
                <c:pt idx="7">
                  <c:v>3.5468308835471158</c:v>
                </c:pt>
                <c:pt idx="8">
                  <c:v>0.96094451777563927</c:v>
                </c:pt>
                <c:pt idx="9">
                  <c:v>0.20276011322261264</c:v>
                </c:pt>
                <c:pt idx="10">
                  <c:v>3.3319088819218412E-2</c:v>
                </c:pt>
                <c:pt idx="11">
                  <c:v>4.2641265669961046E-3</c:v>
                </c:pt>
                <c:pt idx="12">
                  <c:v>4.2500441055550836E-4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53-4A48-87C5-5FAE494B8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1.5049999999999999"/>
          <c:min val="1.47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Ordinati'!$AW$4:$AW$9</c:f>
              <c:strCache>
                <c:ptCount val="6"/>
                <c:pt idx="0">
                  <c:v>1,47372884</c:v>
                </c:pt>
                <c:pt idx="1">
                  <c:v>1,477186521</c:v>
                </c:pt>
                <c:pt idx="2">
                  <c:v>1,480644202</c:v>
                </c:pt>
                <c:pt idx="3">
                  <c:v>1,484101882</c:v>
                </c:pt>
                <c:pt idx="4">
                  <c:v>1,487559563</c:v>
                </c:pt>
                <c:pt idx="5">
                  <c:v>1,491017244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Ordinati'!$BJ$4:$BJ$9</c:f>
              <c:numCache>
                <c:formatCode>General</c:formatCode>
                <c:ptCount val="6"/>
                <c:pt idx="0">
                  <c:v>1.1251768989156341</c:v>
                </c:pt>
                <c:pt idx="1">
                  <c:v>1.1295306967469023</c:v>
                </c:pt>
                <c:pt idx="2">
                  <c:v>1.1338844945781705</c:v>
                </c:pt>
                <c:pt idx="3">
                  <c:v>1.1382382924094387</c:v>
                </c:pt>
                <c:pt idx="4">
                  <c:v>1.142592090240707</c:v>
                </c:pt>
                <c:pt idx="5">
                  <c:v>1.1469458880719752</c:v>
                </c:pt>
              </c:numCache>
            </c:numRef>
          </c:xVal>
          <c:yVal>
            <c:numRef>
              <c:f>'Dati Ordinati'!$BI$4:$BI$9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3-470F-84B8-895C7859619F}"/>
            </c:ext>
          </c:extLst>
        </c:ser>
        <c:ser>
          <c:idx val="1"/>
          <c:order val="1"/>
          <c:tx>
            <c:strRef>
              <c:f>'Dati Ordinati'!$BJ$22:$BJ$33</c:f>
              <c:strCache>
                <c:ptCount val="12"/>
                <c:pt idx="0">
                  <c:v>1,125176899</c:v>
                </c:pt>
                <c:pt idx="1">
                  <c:v>1,129530697</c:v>
                </c:pt>
                <c:pt idx="2">
                  <c:v>1,133884495</c:v>
                </c:pt>
                <c:pt idx="3">
                  <c:v>1,138238292</c:v>
                </c:pt>
                <c:pt idx="4">
                  <c:v>1,14259209</c:v>
                </c:pt>
                <c:pt idx="5">
                  <c:v>1,146945888</c:v>
                </c:pt>
                <c:pt idx="6">
                  <c:v>1,151299686</c:v>
                </c:pt>
                <c:pt idx="7">
                  <c:v>1,155653484</c:v>
                </c:pt>
                <c:pt idx="8">
                  <c:v>1,160007282</c:v>
                </c:pt>
                <c:pt idx="9">
                  <c:v>1,164361079</c:v>
                </c:pt>
                <c:pt idx="10">
                  <c:v>1,168714877</c:v>
                </c:pt>
                <c:pt idx="11">
                  <c:v>1,173068675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Ordinati'!$BJ$22:$BJ$33</c:f>
              <c:numCache>
                <c:formatCode>General</c:formatCode>
                <c:ptCount val="12"/>
                <c:pt idx="0">
                  <c:v>1.1251768989156341</c:v>
                </c:pt>
                <c:pt idx="1">
                  <c:v>1.1295306967469023</c:v>
                </c:pt>
                <c:pt idx="2">
                  <c:v>1.1338844945781705</c:v>
                </c:pt>
                <c:pt idx="3">
                  <c:v>1.1382382924094387</c:v>
                </c:pt>
                <c:pt idx="4">
                  <c:v>1.142592090240707</c:v>
                </c:pt>
                <c:pt idx="5">
                  <c:v>1.1469458880719752</c:v>
                </c:pt>
                <c:pt idx="6">
                  <c:v>1.1512996859032434</c:v>
                </c:pt>
                <c:pt idx="7">
                  <c:v>1.1556534837345116</c:v>
                </c:pt>
                <c:pt idx="8">
                  <c:v>1.1600072815657798</c:v>
                </c:pt>
                <c:pt idx="9">
                  <c:v>1.164361079397048</c:v>
                </c:pt>
                <c:pt idx="10">
                  <c:v>1.1687148772283162</c:v>
                </c:pt>
                <c:pt idx="11">
                  <c:v>1.1730686750595845</c:v>
                </c:pt>
              </c:numCache>
            </c:numRef>
          </c:xVal>
          <c:yVal>
            <c:numRef>
              <c:f>'Dati Ordinati'!$BI$22:$BI$33</c:f>
              <c:numCache>
                <c:formatCode>General</c:formatCode>
                <c:ptCount val="12"/>
                <c:pt idx="0">
                  <c:v>31.856934198754143</c:v>
                </c:pt>
                <c:pt idx="1">
                  <c:v>43.055842667153108</c:v>
                </c:pt>
                <c:pt idx="2">
                  <c:v>45.319654252247929</c:v>
                </c:pt>
                <c:pt idx="3">
                  <c:v>37.150739411213515</c:v>
                </c:pt>
                <c:pt idx="4">
                  <c:v>23.717817089514206</c:v>
                </c:pt>
                <c:pt idx="5">
                  <c:v>11.79256689569994</c:v>
                </c:pt>
                <c:pt idx="6">
                  <c:v>4.5663412210261018</c:v>
                </c:pt>
                <c:pt idx="7">
                  <c:v>1.3770659924832558</c:v>
                </c:pt>
                <c:pt idx="8">
                  <c:v>0.32342048562190245</c:v>
                </c:pt>
                <c:pt idx="9">
                  <c:v>5.9157072781897128E-2</c:v>
                </c:pt>
                <c:pt idx="10">
                  <c:v>8.4269847253106104E-3</c:v>
                </c:pt>
                <c:pt idx="11">
                  <c:v>9.3489775507321637E-4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3-470F-84B8-895C7859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1.1500000000000001"/>
          <c:min val="1.1225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Ordinati'!$AW$4:$AW$9</c:f>
              <c:strCache>
                <c:ptCount val="6"/>
                <c:pt idx="0">
                  <c:v>1,47372884</c:v>
                </c:pt>
                <c:pt idx="1">
                  <c:v>1,477186521</c:v>
                </c:pt>
                <c:pt idx="2">
                  <c:v>1,480644202</c:v>
                </c:pt>
                <c:pt idx="3">
                  <c:v>1,484101882</c:v>
                </c:pt>
                <c:pt idx="4">
                  <c:v>1,487559563</c:v>
                </c:pt>
                <c:pt idx="5">
                  <c:v>1,491017244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Ordinati'!$BW$4:$BW$10</c:f>
              <c:numCache>
                <c:formatCode>General</c:formatCode>
                <c:ptCount val="7"/>
                <c:pt idx="0">
                  <c:v>0.71663589010898909</c:v>
                </c:pt>
                <c:pt idx="1">
                  <c:v>0.72190767032696734</c:v>
                </c:pt>
                <c:pt idx="2">
                  <c:v>0.72717945054494559</c:v>
                </c:pt>
                <c:pt idx="3">
                  <c:v>0.73245123076292384</c:v>
                </c:pt>
                <c:pt idx="4">
                  <c:v>0.73772301098090209</c:v>
                </c:pt>
                <c:pt idx="5">
                  <c:v>0.74299479119888034</c:v>
                </c:pt>
                <c:pt idx="6">
                  <c:v>0.74826657141685859</c:v>
                </c:pt>
              </c:numCache>
            </c:numRef>
          </c:xVal>
          <c:yVal>
            <c:numRef>
              <c:f>'Dati Ordinati'!$BV$4:$BV$10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3-4463-9260-E43263DE165F}"/>
            </c:ext>
          </c:extLst>
        </c:ser>
        <c:ser>
          <c:idx val="1"/>
          <c:order val="1"/>
          <c:tx>
            <c:strRef>
              <c:f>'Dati Ordinati'!$BW$22:$BW$31</c:f>
              <c:strCache>
                <c:ptCount val="10"/>
                <c:pt idx="0">
                  <c:v>0,71663589</c:v>
                </c:pt>
                <c:pt idx="1">
                  <c:v>0,72190767</c:v>
                </c:pt>
                <c:pt idx="2">
                  <c:v>0,727179451</c:v>
                </c:pt>
                <c:pt idx="3">
                  <c:v>0,732451231</c:v>
                </c:pt>
                <c:pt idx="4">
                  <c:v>0,737723011</c:v>
                </c:pt>
                <c:pt idx="5">
                  <c:v>0,742994791</c:v>
                </c:pt>
                <c:pt idx="6">
                  <c:v>0,748266571</c:v>
                </c:pt>
                <c:pt idx="7">
                  <c:v>0,753538352</c:v>
                </c:pt>
                <c:pt idx="8">
                  <c:v>0,758810132</c:v>
                </c:pt>
                <c:pt idx="9">
                  <c:v>0,764081912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Ordinati'!$BW$22:$BW$31</c:f>
              <c:numCache>
                <c:formatCode>General</c:formatCode>
                <c:ptCount val="10"/>
                <c:pt idx="0">
                  <c:v>0.71663589010898909</c:v>
                </c:pt>
                <c:pt idx="1">
                  <c:v>0.72190767032696734</c:v>
                </c:pt>
                <c:pt idx="2">
                  <c:v>0.72717945054494559</c:v>
                </c:pt>
                <c:pt idx="3">
                  <c:v>0.73245123076292384</c:v>
                </c:pt>
                <c:pt idx="4">
                  <c:v>0.73772301098090209</c:v>
                </c:pt>
                <c:pt idx="5">
                  <c:v>0.74299479119888034</c:v>
                </c:pt>
                <c:pt idx="6">
                  <c:v>0.74826657141685859</c:v>
                </c:pt>
                <c:pt idx="7">
                  <c:v>0.75353835163483684</c:v>
                </c:pt>
                <c:pt idx="8">
                  <c:v>0.7588101318528151</c:v>
                </c:pt>
                <c:pt idx="9">
                  <c:v>0.76408191207079335</c:v>
                </c:pt>
              </c:numCache>
            </c:numRef>
          </c:xVal>
          <c:yVal>
            <c:numRef>
              <c:f>'Dati Ordinati'!$BV$22:$BV$31</c:f>
              <c:numCache>
                <c:formatCode>General</c:formatCode>
                <c:ptCount val="10"/>
                <c:pt idx="0">
                  <c:v>17.97513939540713</c:v>
                </c:pt>
                <c:pt idx="1">
                  <c:v>29.196109848607364</c:v>
                </c:pt>
                <c:pt idx="2">
                  <c:v>36.932107458432597</c:v>
                </c:pt>
                <c:pt idx="3">
                  <c:v>36.38392699436303</c:v>
                </c:pt>
                <c:pt idx="4">
                  <c:v>27.915244250944028</c:v>
                </c:pt>
                <c:pt idx="5">
                  <c:v>16.680139263612428</c:v>
                </c:pt>
                <c:pt idx="6">
                  <c:v>7.7621904087414677</c:v>
                </c:pt>
                <c:pt idx="7">
                  <c:v>2.8131655542082106</c:v>
                </c:pt>
                <c:pt idx="8">
                  <c:v>0.79402224522667497</c:v>
                </c:pt>
                <c:pt idx="9">
                  <c:v>0.17454058528194932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3-4463-9260-E43263DE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0.75000000000000011"/>
          <c:min val="0.715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Ordinati'!$AW$4:$AW$9</c:f>
              <c:strCache>
                <c:ptCount val="6"/>
                <c:pt idx="0">
                  <c:v>1,47372884</c:v>
                </c:pt>
                <c:pt idx="1">
                  <c:v>1,477186521</c:v>
                </c:pt>
                <c:pt idx="2">
                  <c:v>1,480644202</c:v>
                </c:pt>
                <c:pt idx="3">
                  <c:v>1,484101882</c:v>
                </c:pt>
                <c:pt idx="4">
                  <c:v>1,487559563</c:v>
                </c:pt>
                <c:pt idx="5">
                  <c:v>1,491017244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Ordinati'!$CJ$4:$CJ$8</c:f>
              <c:numCache>
                <c:formatCode>General</c:formatCode>
                <c:ptCount val="5"/>
                <c:pt idx="0">
                  <c:v>0.3816772584677971</c:v>
                </c:pt>
                <c:pt idx="1">
                  <c:v>0.38403177540339134</c:v>
                </c:pt>
                <c:pt idx="2">
                  <c:v>0.38638629233898558</c:v>
                </c:pt>
                <c:pt idx="3">
                  <c:v>0.38874080927457982</c:v>
                </c:pt>
                <c:pt idx="4">
                  <c:v>0.39109532621017407</c:v>
                </c:pt>
              </c:numCache>
            </c:numRef>
          </c:xVal>
          <c:yVal>
            <c:numRef>
              <c:f>'Dati Ordinati'!$CI$4:$CI$8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A8-4C59-A745-8147FBFBF66D}"/>
            </c:ext>
          </c:extLst>
        </c:ser>
        <c:ser>
          <c:idx val="1"/>
          <c:order val="1"/>
          <c:tx>
            <c:strRef>
              <c:f>'Dati Ordinati'!$BW$22:$BW$31</c:f>
              <c:strCache>
                <c:ptCount val="10"/>
                <c:pt idx="0">
                  <c:v>0,71663589</c:v>
                </c:pt>
                <c:pt idx="1">
                  <c:v>0,72190767</c:v>
                </c:pt>
                <c:pt idx="2">
                  <c:v>0,727179451</c:v>
                </c:pt>
                <c:pt idx="3">
                  <c:v>0,732451231</c:v>
                </c:pt>
                <c:pt idx="4">
                  <c:v>0,737723011</c:v>
                </c:pt>
                <c:pt idx="5">
                  <c:v>0,742994791</c:v>
                </c:pt>
                <c:pt idx="6">
                  <c:v>0,748266571</c:v>
                </c:pt>
                <c:pt idx="7">
                  <c:v>0,753538352</c:v>
                </c:pt>
                <c:pt idx="8">
                  <c:v>0,758810132</c:v>
                </c:pt>
                <c:pt idx="9">
                  <c:v>0,764081912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'Dati Ordinati'!$CJ$22:$CJ$33</c:f>
              <c:numCache>
                <c:formatCode>General</c:formatCode>
                <c:ptCount val="12"/>
                <c:pt idx="0">
                  <c:v>0.3816772584677971</c:v>
                </c:pt>
                <c:pt idx="1">
                  <c:v>0.38403177540339134</c:v>
                </c:pt>
                <c:pt idx="2">
                  <c:v>0.38638629233898558</c:v>
                </c:pt>
                <c:pt idx="3">
                  <c:v>0.38874080927457982</c:v>
                </c:pt>
                <c:pt idx="4">
                  <c:v>0.39109532621017407</c:v>
                </c:pt>
                <c:pt idx="5">
                  <c:v>0.39344984314576831</c:v>
                </c:pt>
                <c:pt idx="6">
                  <c:v>0.39580436008136255</c:v>
                </c:pt>
                <c:pt idx="7">
                  <c:v>0.39815887701695679</c:v>
                </c:pt>
                <c:pt idx="8">
                  <c:v>0.40051339395255103</c:v>
                </c:pt>
                <c:pt idx="9">
                  <c:v>0.40286791088814528</c:v>
                </c:pt>
                <c:pt idx="10">
                  <c:v>0.40522242782373952</c:v>
                </c:pt>
                <c:pt idx="11">
                  <c:v>0.40757694475933376</c:v>
                </c:pt>
              </c:numCache>
            </c:numRef>
          </c:xVal>
          <c:yVal>
            <c:numRef>
              <c:f>'Dati Ordinati'!$CI$22:$CI$33</c:f>
              <c:numCache>
                <c:formatCode>General</c:formatCode>
                <c:ptCount val="12"/>
                <c:pt idx="0">
                  <c:v>49.053998976713167</c:v>
                </c:pt>
                <c:pt idx="1">
                  <c:v>73.011207296676673</c:v>
                </c:pt>
                <c:pt idx="2">
                  <c:v>84.631301873815985</c:v>
                </c:pt>
                <c:pt idx="3">
                  <c:v>76.400973588743128</c:v>
                </c:pt>
                <c:pt idx="4">
                  <c:v>53.714698659281041</c:v>
                </c:pt>
                <c:pt idx="5">
                  <c:v>29.411269723464343</c:v>
                </c:pt>
                <c:pt idx="6">
                  <c:v>12.541826362387642</c:v>
                </c:pt>
                <c:pt idx="7">
                  <c:v>4.1651838247739139</c:v>
                </c:pt>
                <c:pt idx="8">
                  <c:v>1.0772932583188108</c:v>
                </c:pt>
                <c:pt idx="9">
                  <c:v>0.21700017818076633</c:v>
                </c:pt>
                <c:pt idx="10">
                  <c:v>3.4041808036858724E-2</c:v>
                </c:pt>
                <c:pt idx="11">
                  <c:v>4.1590249512114593E-3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A8-4C59-A745-8147FBFBF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84095"/>
        <c:axId val="472289919"/>
      </c:scatterChart>
      <c:valAx>
        <c:axId val="472284095"/>
        <c:scaling>
          <c:orientation val="minMax"/>
          <c:max val="0.4"/>
          <c:min val="0.380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9919"/>
        <c:crosses val="autoZero"/>
        <c:crossBetween val="midCat"/>
      </c:valAx>
      <c:valAx>
        <c:axId val="47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84095"/>
        <c:crosses val="autoZero"/>
        <c:crossBetween val="midCat"/>
      </c:valAx>
      <c:spPr>
        <a:noFill/>
        <a:ln w="0">
          <a:solidFill>
            <a:schemeClr val="accent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 100 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'Brain-Storming'!$E$15:$E$26</c:f>
              <c:numCache>
                <c:formatCode>General</c:formatCode>
                <c:ptCount val="12"/>
                <c:pt idx="0">
                  <c:v>0.75931420523672943</c:v>
                </c:pt>
                <c:pt idx="1">
                  <c:v>0.77794261571018852</c:v>
                </c:pt>
                <c:pt idx="2">
                  <c:v>0.79657102618364739</c:v>
                </c:pt>
                <c:pt idx="3">
                  <c:v>0.81519943665710648</c:v>
                </c:pt>
                <c:pt idx="4">
                  <c:v>0.83382784713056535</c:v>
                </c:pt>
                <c:pt idx="5">
                  <c:v>0.85245625760402444</c:v>
                </c:pt>
                <c:pt idx="6">
                  <c:v>0.8710846680774833</c:v>
                </c:pt>
                <c:pt idx="7">
                  <c:v>0.88971307855094239</c:v>
                </c:pt>
                <c:pt idx="8">
                  <c:v>0.90834148902440126</c:v>
                </c:pt>
                <c:pt idx="9">
                  <c:v>0.92696989949786035</c:v>
                </c:pt>
                <c:pt idx="10">
                  <c:v>0.94559830997131922</c:v>
                </c:pt>
                <c:pt idx="11">
                  <c:v>0.96422672044477831</c:v>
                </c:pt>
              </c:numCache>
            </c:numRef>
          </c:xVal>
          <c:yVal>
            <c:numRef>
              <c:f>'Brain-Storming'!$F$15:$F$26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16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0-4160-AB32-B6E6AABE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016599"/>
        <c:axId val="910884327"/>
      </c:scatterChart>
      <c:valAx>
        <c:axId val="1783016599"/>
        <c:scaling>
          <c:orientation val="minMax"/>
          <c:max val="1"/>
          <c:min val="0.7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10884327"/>
        <c:crosses val="autoZero"/>
        <c:crossBetween val="midCat"/>
      </c:valAx>
      <c:valAx>
        <c:axId val="91088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16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lungh*periodo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'Brain-Storming'!$L$52:$L$57</c:f>
              <c:numCache>
                <c:formatCode>General</c:formatCode>
                <c:ptCount val="6"/>
                <c:pt idx="0">
                  <c:v>0.87159999999999993</c:v>
                </c:pt>
                <c:pt idx="1">
                  <c:v>1.5840000000000001</c:v>
                </c:pt>
                <c:pt idx="2">
                  <c:v>1.4816</c:v>
                </c:pt>
                <c:pt idx="3">
                  <c:v>1.1325999999999996</c:v>
                </c:pt>
                <c:pt idx="4">
                  <c:v>0.72950000000000004</c:v>
                </c:pt>
                <c:pt idx="5">
                  <c:v>0.38659999999999994</c:v>
                </c:pt>
              </c:numCache>
            </c:numRef>
          </c:xVal>
          <c:yVal>
            <c:numRef>
              <c:f>'Brain-Storming'!$M$52:$M$57</c:f>
              <c:numCache>
                <c:formatCode>General</c:formatCode>
                <c:ptCount val="6"/>
                <c:pt idx="0">
                  <c:v>0.17780000000000001</c:v>
                </c:pt>
                <c:pt idx="1">
                  <c:v>0.62979999999999992</c:v>
                </c:pt>
                <c:pt idx="2">
                  <c:v>0.54880000000000007</c:v>
                </c:pt>
                <c:pt idx="3">
                  <c:v>0.31780000000000003</c:v>
                </c:pt>
                <c:pt idx="4">
                  <c:v>0.1278</c:v>
                </c:pt>
                <c:pt idx="5">
                  <c:v>3.78E-2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7-4777-BF41-2E38BCD1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446727"/>
        <c:axId val="156801703"/>
      </c:scatterChart>
      <c:valAx>
        <c:axId val="1604446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1703"/>
        <c:crosses val="autoZero"/>
        <c:crossBetween val="midCat"/>
      </c:valAx>
      <c:valAx>
        <c:axId val="15680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46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lugh*t^2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'Brain-Storming'!$P$52:$P$57</c:f>
              <c:numCache>
                <c:formatCode>General</c:formatCode>
                <c:ptCount val="6"/>
                <c:pt idx="0">
                  <c:v>0.7596865599999999</c:v>
                </c:pt>
                <c:pt idx="1">
                  <c:v>2.5090560000000002</c:v>
                </c:pt>
                <c:pt idx="2">
                  <c:v>2.1951385600000002</c:v>
                </c:pt>
                <c:pt idx="3">
                  <c:v>1.282782759999999</c:v>
                </c:pt>
                <c:pt idx="4">
                  <c:v>0.53217025000000007</c:v>
                </c:pt>
                <c:pt idx="5">
                  <c:v>0.14945955999999996</c:v>
                </c:pt>
              </c:numCache>
            </c:numRef>
          </c:xVal>
          <c:yVal>
            <c:numRef>
              <c:f>'Brain-Storming'!$Q$52:$Q$57</c:f>
              <c:numCache>
                <c:formatCode>General</c:formatCode>
                <c:ptCount val="6"/>
                <c:pt idx="0">
                  <c:v>0.17780000000000001</c:v>
                </c:pt>
                <c:pt idx="1">
                  <c:v>0.62979999999999992</c:v>
                </c:pt>
                <c:pt idx="2">
                  <c:v>0.54880000000000007</c:v>
                </c:pt>
                <c:pt idx="3">
                  <c:v>0.31780000000000003</c:v>
                </c:pt>
                <c:pt idx="4">
                  <c:v>0.1278</c:v>
                </c:pt>
                <c:pt idx="5">
                  <c:v>3.78E-2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2-4D57-862F-7693D4A8F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78263"/>
        <c:axId val="1555162679"/>
      </c:scatterChart>
      <c:valAx>
        <c:axId val="1340478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62679"/>
        <c:crosses val="autoZero"/>
        <c:crossBetween val="midCat"/>
      </c:valAx>
      <c:valAx>
        <c:axId val="155516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78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lugh*t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'Brain-Storming'!$L$52:$L$57</c:f>
              <c:numCache>
                <c:formatCode>General</c:formatCode>
                <c:ptCount val="6"/>
                <c:pt idx="0">
                  <c:v>0.87159999999999993</c:v>
                </c:pt>
                <c:pt idx="1">
                  <c:v>1.5840000000000001</c:v>
                </c:pt>
                <c:pt idx="2">
                  <c:v>1.4816</c:v>
                </c:pt>
                <c:pt idx="3">
                  <c:v>1.1325999999999996</c:v>
                </c:pt>
                <c:pt idx="4">
                  <c:v>0.72950000000000004</c:v>
                </c:pt>
                <c:pt idx="5">
                  <c:v>0.38659999999999994</c:v>
                </c:pt>
              </c:numCache>
            </c:numRef>
          </c:xVal>
          <c:yVal>
            <c:numRef>
              <c:f>'Brain-Storming'!$M$52:$M$57</c:f>
              <c:numCache>
                <c:formatCode>General</c:formatCode>
                <c:ptCount val="6"/>
                <c:pt idx="0">
                  <c:v>0.17780000000000001</c:v>
                </c:pt>
                <c:pt idx="1">
                  <c:v>0.62979999999999992</c:v>
                </c:pt>
                <c:pt idx="2">
                  <c:v>0.54880000000000007</c:v>
                </c:pt>
                <c:pt idx="3">
                  <c:v>0.31780000000000003</c:v>
                </c:pt>
                <c:pt idx="4">
                  <c:v>0.1278</c:v>
                </c:pt>
                <c:pt idx="5">
                  <c:v>3.78E-2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0-41AC-A153-33396CD1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59960"/>
        <c:axId val="969826439"/>
      </c:scatterChart>
      <c:valAx>
        <c:axId val="14246599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26439"/>
        <c:crosses val="autoZero"/>
        <c:crossBetween val="midCat"/>
      </c:valAx>
      <c:valAx>
        <c:axId val="9698264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59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loglungh*logt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'Brain-Storming'!$O$60:$O$65</c:f>
              <c:numCache>
                <c:formatCode>General</c:formatCode>
                <c:ptCount val="6"/>
                <c:pt idx="0">
                  <c:v>-5.968277842578202E-2</c:v>
                </c:pt>
                <c:pt idx="1">
                  <c:v>0.19975517725347472</c:v>
                </c:pt>
                <c:pt idx="2">
                  <c:v>0.17073096933785911</c:v>
                </c:pt>
                <c:pt idx="3">
                  <c:v>5.4076557290510183E-2</c:v>
                </c:pt>
                <c:pt idx="4">
                  <c:v>-0.13697470377052956</c:v>
                </c:pt>
                <c:pt idx="5">
                  <c:v>-0.41273815030746586</c:v>
                </c:pt>
              </c:numCache>
            </c:numRef>
          </c:xVal>
          <c:yVal>
            <c:numRef>
              <c:f>'Brain-Storming'!$P$60:$P$65</c:f>
              <c:numCache>
                <c:formatCode>General</c:formatCode>
                <c:ptCount val="6"/>
                <c:pt idx="0">
                  <c:v>-0.75006824336580513</c:v>
                </c:pt>
                <c:pt idx="1">
                  <c:v>-0.20079734369947497</c:v>
                </c:pt>
                <c:pt idx="2">
                  <c:v>-0.26058589730130466</c:v>
                </c:pt>
                <c:pt idx="3">
                  <c:v>-0.49784610712863919</c:v>
                </c:pt>
                <c:pt idx="4">
                  <c:v>-0.89346914617761863</c:v>
                </c:pt>
                <c:pt idx="5">
                  <c:v>-1.4225082001627747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2-4CA0-92D0-EB18D540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863831"/>
        <c:axId val="845473384"/>
      </c:scatterChart>
      <c:valAx>
        <c:axId val="157786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73384"/>
        <c:crosses val="autoZero"/>
        <c:crossBetween val="midCat"/>
      </c:valAx>
      <c:valAx>
        <c:axId val="84547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63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'Brain-Storming'!$M$52:$M$57</c:f>
              <c:numCache>
                <c:formatCode>General</c:formatCode>
                <c:ptCount val="6"/>
                <c:pt idx="0">
                  <c:v>0.17780000000000001</c:v>
                </c:pt>
                <c:pt idx="1">
                  <c:v>0.62979999999999992</c:v>
                </c:pt>
                <c:pt idx="2">
                  <c:v>0.54880000000000007</c:v>
                </c:pt>
                <c:pt idx="3">
                  <c:v>0.31780000000000003</c:v>
                </c:pt>
                <c:pt idx="4">
                  <c:v>0.1278</c:v>
                </c:pt>
                <c:pt idx="5">
                  <c:v>3.78E-2</c:v>
                </c:pt>
              </c:numCache>
            </c:numRef>
          </c:xVal>
          <c:yVal>
            <c:numRef>
              <c:f>'Brain-Storming'!$N$52:$N$57</c:f>
              <c:numCache>
                <c:formatCode>General</c:formatCode>
                <c:ptCount val="6"/>
                <c:pt idx="0">
                  <c:v>0.87159999999999993</c:v>
                </c:pt>
                <c:pt idx="1">
                  <c:v>1.5840000000000001</c:v>
                </c:pt>
                <c:pt idx="2">
                  <c:v>1.4816</c:v>
                </c:pt>
                <c:pt idx="3">
                  <c:v>1.1325999999999996</c:v>
                </c:pt>
                <c:pt idx="4">
                  <c:v>0.72950000000000004</c:v>
                </c:pt>
                <c:pt idx="5">
                  <c:v>0.38659999999999994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F-4B43-9C66-7DD2E979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23783"/>
        <c:axId val="1230236839"/>
      </c:scatterChart>
      <c:valAx>
        <c:axId val="107352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36839"/>
        <c:crosses val="autoZero"/>
        <c:crossBetween val="midCat"/>
      </c:valAx>
      <c:valAx>
        <c:axId val="1230236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23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'Brain-Storming'!$G$15:$G$26</c:f>
              <c:numCache>
                <c:formatCode>General</c:formatCode>
                <c:ptCount val="12"/>
                <c:pt idx="0">
                  <c:v>0.75931420523672943</c:v>
                </c:pt>
                <c:pt idx="1">
                  <c:v>0.77794261571018852</c:v>
                </c:pt>
                <c:pt idx="2">
                  <c:v>0.79657102618364739</c:v>
                </c:pt>
                <c:pt idx="3">
                  <c:v>0.81519943665710648</c:v>
                </c:pt>
                <c:pt idx="4">
                  <c:v>0.83382784713056535</c:v>
                </c:pt>
                <c:pt idx="5">
                  <c:v>0.85245625760402444</c:v>
                </c:pt>
                <c:pt idx="6">
                  <c:v>0.8710846680774833</c:v>
                </c:pt>
                <c:pt idx="7">
                  <c:v>0.88971307855094239</c:v>
                </c:pt>
                <c:pt idx="8">
                  <c:v>0.90834148902440126</c:v>
                </c:pt>
                <c:pt idx="9">
                  <c:v>0.92696989949786035</c:v>
                </c:pt>
                <c:pt idx="10">
                  <c:v>0.94559830997131922</c:v>
                </c:pt>
                <c:pt idx="11">
                  <c:v>0.96422672044477831</c:v>
                </c:pt>
              </c:numCache>
            </c:numRef>
          </c:xVal>
          <c:yVal>
            <c:numRef>
              <c:f>'Brain-Storming'!$H$15:$H$26</c:f>
              <c:numCache>
                <c:formatCode>General</c:formatCode>
                <c:ptCount val="12"/>
                <c:pt idx="0">
                  <c:v>0.12073457896547556</c:v>
                </c:pt>
                <c:pt idx="1">
                  <c:v>0.47633255803195818</c:v>
                </c:pt>
                <c:pt idx="2">
                  <c:v>1.4635758744219951</c:v>
                </c:pt>
                <c:pt idx="3">
                  <c:v>3.502245583241558</c:v>
                </c:pt>
                <c:pt idx="4">
                  <c:v>6.5268604933250858</c:v>
                </c:pt>
                <c:pt idx="5">
                  <c:v>9.4730197646674164</c:v>
                </c:pt>
                <c:pt idx="6">
                  <c:v>10.707767588850698</c:v>
                </c:pt>
                <c:pt idx="7">
                  <c:v>9.4261817364472407</c:v>
                </c:pt>
                <c:pt idx="8">
                  <c:v>6.4624777463343168</c:v>
                </c:pt>
                <c:pt idx="9">
                  <c:v>3.450552916971847</c:v>
                </c:pt>
                <c:pt idx="10">
                  <c:v>1.4348440561884204</c:v>
                </c:pt>
                <c:pt idx="11">
                  <c:v>0.46467263100835315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5B-4F79-A914-1A045367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365567"/>
        <c:axId val="575365887"/>
      </c:scatterChart>
      <c:valAx>
        <c:axId val="57536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65887"/>
        <c:crosses val="autoZero"/>
        <c:crossBetween val="midCat"/>
      </c:valAx>
      <c:valAx>
        <c:axId val="575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6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'Brain-Storming'!$L$17:$L$28</c:f>
              <c:numCache>
                <c:formatCode>General</c:formatCode>
                <c:ptCount val="12"/>
                <c:pt idx="0">
                  <c:v>0.75931420523672943</c:v>
                </c:pt>
                <c:pt idx="1">
                  <c:v>0.77794261571018852</c:v>
                </c:pt>
                <c:pt idx="2">
                  <c:v>0.79657102618364739</c:v>
                </c:pt>
                <c:pt idx="3">
                  <c:v>0.81519943665710648</c:v>
                </c:pt>
                <c:pt idx="4">
                  <c:v>0.83382784713056535</c:v>
                </c:pt>
                <c:pt idx="5">
                  <c:v>0.85245625760402444</c:v>
                </c:pt>
                <c:pt idx="6">
                  <c:v>0.8710846680774833</c:v>
                </c:pt>
                <c:pt idx="7">
                  <c:v>0.88971307855094239</c:v>
                </c:pt>
                <c:pt idx="8">
                  <c:v>0.90834148902440126</c:v>
                </c:pt>
                <c:pt idx="9">
                  <c:v>0.92696989949786035</c:v>
                </c:pt>
                <c:pt idx="10">
                  <c:v>0.94559830997131922</c:v>
                </c:pt>
                <c:pt idx="11">
                  <c:v>0.96422672044477831</c:v>
                </c:pt>
              </c:numCache>
            </c:numRef>
          </c:xVal>
          <c:yVal>
            <c:numRef>
              <c:f>'Brain-Storming'!$M$17:$M$28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16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A1-47AD-B6A6-A424894E03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'Brain-Storming'!$L$17:$L$28</c:f>
              <c:numCache>
                <c:formatCode>General</c:formatCode>
                <c:ptCount val="12"/>
                <c:pt idx="0">
                  <c:v>0.75931420523672943</c:v>
                </c:pt>
                <c:pt idx="1">
                  <c:v>0.77794261571018852</c:v>
                </c:pt>
                <c:pt idx="2">
                  <c:v>0.79657102618364739</c:v>
                </c:pt>
                <c:pt idx="3">
                  <c:v>0.81519943665710648</c:v>
                </c:pt>
                <c:pt idx="4">
                  <c:v>0.83382784713056535</c:v>
                </c:pt>
                <c:pt idx="5">
                  <c:v>0.85245625760402444</c:v>
                </c:pt>
                <c:pt idx="6">
                  <c:v>0.8710846680774833</c:v>
                </c:pt>
                <c:pt idx="7">
                  <c:v>0.88971307855094239</c:v>
                </c:pt>
                <c:pt idx="8">
                  <c:v>0.90834148902440126</c:v>
                </c:pt>
                <c:pt idx="9">
                  <c:v>0.92696989949786035</c:v>
                </c:pt>
                <c:pt idx="10">
                  <c:v>0.94559830997131922</c:v>
                </c:pt>
                <c:pt idx="11">
                  <c:v>0.96422672044477831</c:v>
                </c:pt>
              </c:numCache>
            </c:numRef>
          </c:xVal>
          <c:yVal>
            <c:numRef>
              <c:f>'Brain-Storming'!$N$17:$N$28</c:f>
              <c:numCache>
                <c:formatCode>General</c:formatCode>
                <c:ptCount val="12"/>
                <c:pt idx="0">
                  <c:v>0.12073457896547556</c:v>
                </c:pt>
                <c:pt idx="1">
                  <c:v>0.47633255803195818</c:v>
                </c:pt>
                <c:pt idx="2">
                  <c:v>1.4635758744219951</c:v>
                </c:pt>
                <c:pt idx="3">
                  <c:v>3.502245583241558</c:v>
                </c:pt>
                <c:pt idx="4">
                  <c:v>6.5268604933250858</c:v>
                </c:pt>
                <c:pt idx="5">
                  <c:v>9.4730197646674164</c:v>
                </c:pt>
                <c:pt idx="6">
                  <c:v>10.707767588850698</c:v>
                </c:pt>
                <c:pt idx="7">
                  <c:v>9.4261817364472407</c:v>
                </c:pt>
                <c:pt idx="8">
                  <c:v>6.4624777463343168</c:v>
                </c:pt>
                <c:pt idx="9">
                  <c:v>3.450552916971847</c:v>
                </c:pt>
                <c:pt idx="10">
                  <c:v>1.4348440561884204</c:v>
                </c:pt>
                <c:pt idx="11">
                  <c:v>0.46467263100835315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A1-47AD-B6A6-A424894E0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6847"/>
        <c:axId val="83607167"/>
      </c:scatterChart>
      <c:valAx>
        <c:axId val="8360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7167"/>
        <c:crosses val="autoZero"/>
        <c:crossBetween val="midCat"/>
      </c:valAx>
      <c:valAx>
        <c:axId val="8360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397267</xdr:colOff>
      <xdr:row>37</xdr:row>
      <xdr:rowOff>151735</xdr:rowOff>
    </xdr:from>
    <xdr:to>
      <xdr:col>9</xdr:col>
      <xdr:colOff>519187</xdr:colOff>
      <xdr:row>52</xdr:row>
      <xdr:rowOff>151735</xdr:rowOff>
    </xdr:to>
    <xdr:graphicFrame macro="">
      <xdr:nvGraphicFramePr>
        <xdr:cNvPr id="11" name="Grafico 1">
          <a:extLst>
            <a:ext uri="{FF2B5EF4-FFF2-40B4-BE49-F238E27FC236}">
              <a16:creationId xmlns:a16="http://schemas.microsoft.com/office/drawing/2014/main" id="{EB7E6D24-7039-4288-B015-078C7A4B4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262467</xdr:colOff>
      <xdr:row>12</xdr:row>
      <xdr:rowOff>178647</xdr:rowOff>
    </xdr:from>
    <xdr:to>
      <xdr:col>97</xdr:col>
      <xdr:colOff>567267</xdr:colOff>
      <xdr:row>27</xdr:row>
      <xdr:rowOff>178647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123DD30-B9C1-47AE-ACF2-C6D7D90F0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90</xdr:col>
      <xdr:colOff>228600</xdr:colOff>
      <xdr:row>25</xdr:row>
      <xdr:rowOff>53340</xdr:rowOff>
    </xdr:from>
    <xdr:to>
      <xdr:col>97</xdr:col>
      <xdr:colOff>533400</xdr:colOff>
      <xdr:row>40</xdr:row>
      <xdr:rowOff>53340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508E7AF-C68C-4614-BC34-415085FC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228600</xdr:colOff>
      <xdr:row>41</xdr:row>
      <xdr:rowOff>38100</xdr:rowOff>
    </xdr:from>
    <xdr:to>
      <xdr:col>97</xdr:col>
      <xdr:colOff>533400</xdr:colOff>
      <xdr:row>56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0ED01E3-8E20-4F9B-AA47-B7C57705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291737</xdr:colOff>
      <xdr:row>38</xdr:row>
      <xdr:rowOff>102326</xdr:rowOff>
    </xdr:from>
    <xdr:to>
      <xdr:col>21</xdr:col>
      <xdr:colOff>596537</xdr:colOff>
      <xdr:row>53</xdr:row>
      <xdr:rowOff>102325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DC9489D-E5FF-4DF3-B0FD-9BBB50AE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115389</xdr:colOff>
      <xdr:row>38</xdr:row>
      <xdr:rowOff>95795</xdr:rowOff>
    </xdr:from>
    <xdr:to>
      <xdr:col>34</xdr:col>
      <xdr:colOff>420189</xdr:colOff>
      <xdr:row>53</xdr:row>
      <xdr:rowOff>95794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7F2C29D-3AD7-4BDD-B459-736A7D490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337457</xdr:colOff>
      <xdr:row>38</xdr:row>
      <xdr:rowOff>113212</xdr:rowOff>
    </xdr:from>
    <xdr:to>
      <xdr:col>48</xdr:col>
      <xdr:colOff>32657</xdr:colOff>
      <xdr:row>53</xdr:row>
      <xdr:rowOff>113211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531F9A0-C993-40EA-93E7-492680742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195943</xdr:colOff>
      <xdr:row>39</xdr:row>
      <xdr:rowOff>32657</xdr:rowOff>
    </xdr:from>
    <xdr:to>
      <xdr:col>60</xdr:col>
      <xdr:colOff>500743</xdr:colOff>
      <xdr:row>54</xdr:row>
      <xdr:rowOff>32657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33BDB83-9506-4D0C-A0BD-E48262B43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66</xdr:col>
      <xdr:colOff>376646</xdr:colOff>
      <xdr:row>39</xdr:row>
      <xdr:rowOff>15240</xdr:rowOff>
    </xdr:from>
    <xdr:to>
      <xdr:col>74</xdr:col>
      <xdr:colOff>71846</xdr:colOff>
      <xdr:row>54</xdr:row>
      <xdr:rowOff>15240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CE5FE2FF-65A5-422A-9A46-BDE608176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79</xdr:col>
      <xdr:colOff>0</xdr:colOff>
      <xdr:row>38</xdr:row>
      <xdr:rowOff>97972</xdr:rowOff>
    </xdr:from>
    <xdr:to>
      <xdr:col>86</xdr:col>
      <xdr:colOff>304800</xdr:colOff>
      <xdr:row>53</xdr:row>
      <xdr:rowOff>97971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6FE6EE1-C852-4263-BB68-F0566CFC4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107</xdr:col>
      <xdr:colOff>38100</xdr:colOff>
      <xdr:row>15</xdr:row>
      <xdr:rowOff>95250</xdr:rowOff>
    </xdr:from>
    <xdr:to>
      <xdr:col>107</xdr:col>
      <xdr:colOff>552450</xdr:colOff>
      <xdr:row>15</xdr:row>
      <xdr:rowOff>142875</xdr:rowOff>
    </xdr:to>
    <xdr:cxnSp macro="">
      <xdr:nvCxnSpPr>
        <xdr:cNvPr id="2" name="Connettore dritto 1">
          <a:extLst>
            <a:ext uri="{FF2B5EF4-FFF2-40B4-BE49-F238E27FC236}">
              <a16:creationId xmlns:a16="http://schemas.microsoft.com/office/drawing/2014/main" id="{AA047AA4-8328-4A91-8587-BE5259277388}"/>
            </a:ext>
            <a:ext uri="{147F2762-F138-4A5C-976F-8EAC2B608ADB}">
              <a16:predDERef xmlns:a16="http://schemas.microsoft.com/office/drawing/2014/main" pred="{36FE6EE1-C852-4263-BB68-F0566CFC4E99}"/>
            </a:ext>
          </a:extLst>
        </xdr:cNvPr>
        <xdr:cNvCxnSpPr>
          <a:cxnSpLocks/>
        </xdr:cNvCxnSpPr>
      </xdr:nvCxnSpPr>
      <xdr:spPr>
        <a:xfrm>
          <a:off x="62636400" y="2990850"/>
          <a:ext cx="514350" cy="476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411894</xdr:colOff>
      <xdr:row>11</xdr:row>
      <xdr:rowOff>8549</xdr:rowOff>
    </xdr:from>
    <xdr:to>
      <xdr:col>26</xdr:col>
      <xdr:colOff>110147</xdr:colOff>
      <xdr:row>25</xdr:row>
      <xdr:rowOff>84749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D5E30D2-B259-4E11-A2B8-6AEC45CB4B64}"/>
            </a:ext>
            <a:ext uri="{147F2762-F138-4A5C-976F-8EAC2B608ADB}">
              <a16:predDERef xmlns:a16="http://schemas.microsoft.com/office/drawing/2014/main" pred="{C1969FB4-65AF-4A34-8BB8-A70D5ECBE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112</xdr:row>
      <xdr:rowOff>133350</xdr:rowOff>
    </xdr:from>
    <xdr:to>
      <xdr:col>18</xdr:col>
      <xdr:colOff>219075</xdr:colOff>
      <xdr:row>127</xdr:row>
      <xdr:rowOff>19050</xdr:rowOff>
    </xdr:to>
    <xdr:graphicFrame macro="">
      <xdr:nvGraphicFramePr>
        <xdr:cNvPr id="3" name="Grafico 2" title="Lungh*periodo">
          <a:extLst>
            <a:ext uri="{FF2B5EF4-FFF2-40B4-BE49-F238E27FC236}">
              <a16:creationId xmlns:a16="http://schemas.microsoft.com/office/drawing/2014/main" id="{6F30DDED-8971-4015-A464-81FB456CECC6}"/>
            </a:ext>
            <a:ext uri="{147F2762-F138-4A5C-976F-8EAC2B608ADB}">
              <a16:predDERef xmlns:a16="http://schemas.microsoft.com/office/drawing/2014/main" pred="{D82496EB-1429-4262-A03A-615A362A7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419100</xdr:colOff>
      <xdr:row>67</xdr:row>
      <xdr:rowOff>114300</xdr:rowOff>
    </xdr:from>
    <xdr:to>
      <xdr:col>18</xdr:col>
      <xdr:colOff>114300</xdr:colOff>
      <xdr:row>82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8286ED0-982B-44F4-9453-EA781785D839}"/>
            </a:ext>
            <a:ext uri="{147F2762-F138-4A5C-976F-8EAC2B608ADB}">
              <a16:predDERef xmlns:a16="http://schemas.microsoft.com/office/drawing/2014/main" pred="{85D039A9-52A2-46A3-8B47-A17404E69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504825</xdr:colOff>
      <xdr:row>97</xdr:row>
      <xdr:rowOff>114300</xdr:rowOff>
    </xdr:from>
    <xdr:to>
      <xdr:col>18</xdr:col>
      <xdr:colOff>200025</xdr:colOff>
      <xdr:row>112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5175B4E-5F5C-489D-9F27-E7DBD6604CD0}"/>
            </a:ext>
            <a:ext uri="{147F2762-F138-4A5C-976F-8EAC2B608ADB}">
              <a16:predDERef xmlns:a16="http://schemas.microsoft.com/office/drawing/2014/main" pred="{27D502B6-783A-458C-B233-3158A05CA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38100</xdr:colOff>
      <xdr:row>127</xdr:row>
      <xdr:rowOff>161925</xdr:rowOff>
    </xdr:from>
    <xdr:to>
      <xdr:col>18</xdr:col>
      <xdr:colOff>342900</xdr:colOff>
      <xdr:row>142</xdr:row>
      <xdr:rowOff>47625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EECE0B3-8103-4C43-9E22-053BA31307AD}"/>
            </a:ext>
            <a:ext uri="{147F2762-F138-4A5C-976F-8EAC2B608ADB}">
              <a16:predDERef xmlns:a16="http://schemas.microsoft.com/office/drawing/2014/main" pred="{339A7530-EE28-4CAA-8675-AD7A58565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307731</xdr:colOff>
      <xdr:row>82</xdr:row>
      <xdr:rowOff>101844</xdr:rowOff>
    </xdr:from>
    <xdr:to>
      <xdr:col>18</xdr:col>
      <xdr:colOff>2931</xdr:colOff>
      <xdr:row>96</xdr:row>
      <xdr:rowOff>178044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6B6230E-515C-4BDB-8134-F03A3B3FB037}"/>
            </a:ext>
            <a:ext uri="{147F2762-F138-4A5C-976F-8EAC2B608ADB}">
              <a16:predDERef xmlns:a16="http://schemas.microsoft.com/office/drawing/2014/main" pred="{AF3F42E1-C83E-4C93-8556-36A68C322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335572</xdr:colOff>
      <xdr:row>26</xdr:row>
      <xdr:rowOff>87192</xdr:rowOff>
    </xdr:from>
    <xdr:to>
      <xdr:col>26</xdr:col>
      <xdr:colOff>404445</xdr:colOff>
      <xdr:row>40</xdr:row>
      <xdr:rowOff>153867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70C6CC1-810D-4C10-8A5B-0DDB8DDD5638}"/>
            </a:ext>
            <a:ext uri="{147F2762-F138-4A5C-976F-8EAC2B608ADB}">
              <a16:predDERef xmlns:a16="http://schemas.microsoft.com/office/drawing/2014/main" pred="{BDA0F51C-EFD0-4C4F-879A-35E319084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385712</xdr:colOff>
      <xdr:row>42</xdr:row>
      <xdr:rowOff>58861</xdr:rowOff>
    </xdr:from>
    <xdr:to>
      <xdr:col>26</xdr:col>
      <xdr:colOff>56002</xdr:colOff>
      <xdr:row>56</xdr:row>
      <xdr:rowOff>127441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12463603-EF68-4721-9311-324164B210D2}"/>
            </a:ext>
            <a:ext uri="{147F2762-F138-4A5C-976F-8EAC2B608ADB}">
              <a16:predDERef xmlns:a16="http://schemas.microsoft.com/office/drawing/2014/main" pred="{FEC5D20C-A725-A140-B2C4-B584899B7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B33F-3BF2-4E2A-A767-F8ECB1591FA8}">
  <dimension ref="A1:DT103"/>
  <sheetViews>
    <sheetView zoomScale="70" zoomScaleNormal="70" workbookViewId="0">
      <selection activeCell="J22" sqref="J22"/>
    </sheetView>
  </sheetViews>
  <sheetFormatPr defaultRowHeight="14.4" x14ac:dyDescent="0.3"/>
  <cols>
    <col min="1" max="1" width="5.5546875" customWidth="1"/>
    <col min="3" max="3" width="5.5546875" customWidth="1"/>
    <col min="4" max="5" width="13.109375" customWidth="1"/>
    <col min="6" max="6" width="5.5546875" customWidth="1"/>
    <col min="7" max="7" width="13.6640625" customWidth="1"/>
    <col min="8" max="8" width="5.5546875" customWidth="1"/>
    <col min="9" max="10" width="13.6640625" customWidth="1"/>
    <col min="11" max="11" width="5.33203125" customWidth="1"/>
    <col min="12" max="12" width="5.33203125" style="4" customWidth="1"/>
    <col min="13" max="13" width="5.33203125" customWidth="1"/>
    <col min="25" max="25" width="5.33203125" style="4" customWidth="1"/>
    <col min="26" max="26" width="5.33203125" customWidth="1"/>
    <col min="38" max="38" width="5.33203125" style="4" customWidth="1"/>
    <col min="39" max="39" width="5.33203125" customWidth="1"/>
    <col min="51" max="51" width="5.33203125" style="4" customWidth="1"/>
    <col min="52" max="52" width="5.33203125" customWidth="1"/>
    <col min="64" max="64" width="5.33203125" style="4" customWidth="1"/>
    <col min="65" max="65" width="5.33203125" customWidth="1"/>
    <col min="77" max="77" width="5.33203125" style="4" customWidth="1"/>
    <col min="78" max="78" width="5.33203125" customWidth="1"/>
    <col min="90" max="90" width="5.33203125" style="4" customWidth="1"/>
    <col min="91" max="91" width="16.33203125" customWidth="1"/>
    <col min="119" max="119" width="13.109375" bestFit="1" customWidth="1"/>
    <col min="120" max="120" width="18.33203125" customWidth="1"/>
  </cols>
  <sheetData>
    <row r="1" spans="1:124" ht="25.8" x14ac:dyDescent="0.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M1" s="18" t="s">
        <v>1</v>
      </c>
      <c r="N1" s="18"/>
      <c r="O1" s="18"/>
      <c r="P1" s="18"/>
      <c r="Q1" s="18"/>
      <c r="R1" s="18"/>
      <c r="S1" s="18"/>
      <c r="T1" s="18"/>
      <c r="U1" s="18"/>
      <c r="V1" s="18"/>
      <c r="W1" s="18"/>
      <c r="Z1" s="18" t="s">
        <v>2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M1" s="18" t="s">
        <v>3</v>
      </c>
      <c r="AN1" s="18"/>
      <c r="AO1" s="18"/>
      <c r="AP1" s="18"/>
      <c r="AQ1" s="18"/>
      <c r="AR1" s="18"/>
      <c r="AS1" s="18"/>
      <c r="AT1" s="18"/>
      <c r="AU1" s="18"/>
      <c r="AV1" s="18"/>
      <c r="AW1" s="18"/>
      <c r="AZ1" s="18" t="s">
        <v>4</v>
      </c>
      <c r="BA1" s="18"/>
      <c r="BB1" s="18"/>
      <c r="BC1" s="18"/>
      <c r="BD1" s="18"/>
      <c r="BE1" s="18"/>
      <c r="BF1" s="18"/>
      <c r="BG1" s="18"/>
      <c r="BH1" s="18"/>
      <c r="BI1" s="18"/>
      <c r="BJ1" s="18"/>
      <c r="BM1" s="18" t="s">
        <v>5</v>
      </c>
      <c r="BN1" s="18"/>
      <c r="BO1" s="18"/>
      <c r="BP1" s="18"/>
      <c r="BQ1" s="18"/>
      <c r="BR1" s="18"/>
      <c r="BS1" s="18"/>
      <c r="BT1" s="18"/>
      <c r="BU1" s="18"/>
      <c r="BV1" s="18"/>
      <c r="BW1" s="18"/>
      <c r="BZ1" s="18" t="s">
        <v>6</v>
      </c>
      <c r="CA1" s="18"/>
      <c r="CB1" s="18"/>
      <c r="CC1" s="18"/>
      <c r="CD1" s="18"/>
      <c r="CE1" s="18"/>
      <c r="CF1" s="18"/>
      <c r="CG1" s="18"/>
      <c r="CH1" s="18"/>
      <c r="CI1" s="18"/>
      <c r="CJ1" s="18"/>
      <c r="CM1" s="18" t="s">
        <v>7</v>
      </c>
      <c r="CN1" s="18"/>
      <c r="CO1" s="18"/>
      <c r="CP1" s="18"/>
      <c r="CQ1" s="18"/>
      <c r="CR1" s="18"/>
      <c r="CS1" s="18"/>
      <c r="CT1" s="18"/>
      <c r="CU1" s="18"/>
      <c r="CV1" s="18"/>
      <c r="CW1" s="18"/>
      <c r="DP1" t="s">
        <v>8</v>
      </c>
      <c r="DQ1">
        <v>1.0200000000000001E-2</v>
      </c>
      <c r="DS1" t="s">
        <v>9</v>
      </c>
      <c r="DT1">
        <v>5.0070000000000003E-2</v>
      </c>
    </row>
    <row r="2" spans="1:124" x14ac:dyDescent="0.3">
      <c r="DO2" s="15" t="s">
        <v>10</v>
      </c>
      <c r="DP2" s="15"/>
      <c r="DR2" t="s">
        <v>11</v>
      </c>
    </row>
    <row r="3" spans="1:124" ht="15.6" x14ac:dyDescent="0.3">
      <c r="B3" s="2" t="s">
        <v>12</v>
      </c>
      <c r="D3" s="15" t="s">
        <v>13</v>
      </c>
      <c r="E3" s="15"/>
      <c r="G3" s="3" t="s">
        <v>14</v>
      </c>
      <c r="H3" s="3"/>
      <c r="I3" s="3" t="s">
        <v>15</v>
      </c>
      <c r="J3" s="3" t="s">
        <v>16</v>
      </c>
      <c r="N3" s="2" t="s">
        <v>12</v>
      </c>
      <c r="O3" s="2" t="s">
        <v>12</v>
      </c>
      <c r="Q3" s="15" t="s">
        <v>13</v>
      </c>
      <c r="R3" s="15"/>
      <c r="T3" s="3" t="s">
        <v>14</v>
      </c>
      <c r="U3" s="3"/>
      <c r="V3" s="3" t="s">
        <v>15</v>
      </c>
      <c r="W3" s="3" t="s">
        <v>16</v>
      </c>
      <c r="AA3" s="2" t="s">
        <v>12</v>
      </c>
      <c r="AB3" s="2" t="s">
        <v>12</v>
      </c>
      <c r="AD3" s="15" t="s">
        <v>13</v>
      </c>
      <c r="AE3" s="15"/>
      <c r="AG3" s="3" t="s">
        <v>14</v>
      </c>
      <c r="AH3" s="3"/>
      <c r="AI3" s="3" t="s">
        <v>15</v>
      </c>
      <c r="AJ3" s="3" t="s">
        <v>16</v>
      </c>
      <c r="AN3" s="2" t="s">
        <v>12</v>
      </c>
      <c r="AO3" s="2" t="s">
        <v>12</v>
      </c>
      <c r="AQ3" s="15" t="s">
        <v>13</v>
      </c>
      <c r="AR3" s="15"/>
      <c r="AT3" s="3" t="s">
        <v>14</v>
      </c>
      <c r="AU3" s="3"/>
      <c r="AV3" s="3" t="s">
        <v>15</v>
      </c>
      <c r="AW3" s="3" t="s">
        <v>16</v>
      </c>
      <c r="BA3" s="2" t="s">
        <v>12</v>
      </c>
      <c r="BB3" s="2" t="s">
        <v>12</v>
      </c>
      <c r="BD3" s="15" t="s">
        <v>13</v>
      </c>
      <c r="BE3" s="15"/>
      <c r="BG3" s="3" t="s">
        <v>14</v>
      </c>
      <c r="BH3" s="3"/>
      <c r="BI3" s="3" t="s">
        <v>15</v>
      </c>
      <c r="BJ3" s="3" t="s">
        <v>16</v>
      </c>
      <c r="BN3" s="2" t="s">
        <v>12</v>
      </c>
      <c r="BO3" s="2" t="s">
        <v>12</v>
      </c>
      <c r="BQ3" s="15" t="s">
        <v>13</v>
      </c>
      <c r="BR3" s="15"/>
      <c r="BT3" s="3" t="s">
        <v>14</v>
      </c>
      <c r="BU3" s="3"/>
      <c r="BV3" s="3" t="s">
        <v>15</v>
      </c>
      <c r="BW3" s="3" t="s">
        <v>16</v>
      </c>
      <c r="CA3" s="2" t="s">
        <v>12</v>
      </c>
      <c r="CB3" s="2" t="s">
        <v>12</v>
      </c>
      <c r="CD3" s="15" t="s">
        <v>13</v>
      </c>
      <c r="CE3" s="15"/>
      <c r="CG3" s="3" t="s">
        <v>14</v>
      </c>
      <c r="CH3" s="3"/>
      <c r="CI3" s="3" t="s">
        <v>15</v>
      </c>
      <c r="CJ3" s="3" t="s">
        <v>16</v>
      </c>
      <c r="CN3" s="15" t="s">
        <v>17</v>
      </c>
      <c r="CO3" s="15"/>
      <c r="CP3" s="15" t="s">
        <v>18</v>
      </c>
      <c r="CQ3" s="15"/>
      <c r="CR3" s="15" t="s">
        <v>19</v>
      </c>
      <c r="CS3" s="15"/>
      <c r="CT3" s="15" t="s">
        <v>20</v>
      </c>
      <c r="CU3" s="15"/>
      <c r="CV3" s="15" t="s">
        <v>21</v>
      </c>
      <c r="CW3" s="15"/>
      <c r="CX3" s="3" t="s">
        <v>22</v>
      </c>
      <c r="CY3" s="3"/>
      <c r="CZ3" t="s">
        <v>23</v>
      </c>
      <c r="DB3" s="3" t="s">
        <v>24</v>
      </c>
      <c r="DC3" s="3" t="s">
        <v>25</v>
      </c>
      <c r="DD3" t="s">
        <v>26</v>
      </c>
      <c r="DF3" t="s">
        <v>27</v>
      </c>
      <c r="DH3" s="3" t="s">
        <v>28</v>
      </c>
      <c r="DK3" t="s">
        <v>29</v>
      </c>
      <c r="DM3" t="s">
        <v>30</v>
      </c>
      <c r="DO3" t="s">
        <v>31</v>
      </c>
      <c r="DP3" t="s">
        <v>32</v>
      </c>
      <c r="DQ3" t="s">
        <v>33</v>
      </c>
    </row>
    <row r="4" spans="1:124" x14ac:dyDescent="0.3">
      <c r="B4">
        <v>0.85</v>
      </c>
      <c r="D4" s="16">
        <v>0.17780000000000001</v>
      </c>
      <c r="E4" s="16"/>
      <c r="G4">
        <v>0.76762841047345898</v>
      </c>
      <c r="I4" cm="1">
        <f t="array" ref="I4:I15">FREQUENCY(B4:B103,G4:G14)</f>
        <v>1</v>
      </c>
      <c r="J4">
        <f>D28+D10/4</f>
        <v>0.75931420523672954</v>
      </c>
      <c r="N4">
        <v>8.66</v>
      </c>
      <c r="O4">
        <f>N4/10</f>
        <v>0.86599999999999999</v>
      </c>
      <c r="Q4" s="16">
        <v>0.17780000000000001</v>
      </c>
      <c r="R4" s="16"/>
      <c r="T4">
        <v>0.86747615560188429</v>
      </c>
      <c r="V4" cm="1">
        <f t="array" ref="V4:V10">FREQUENCY(O4:O103,T4:T14)</f>
        <v>4</v>
      </c>
      <c r="W4">
        <f>Q28+Q10/4</f>
        <v>0.86578807780094225</v>
      </c>
      <c r="AA4">
        <v>15.94</v>
      </c>
      <c r="AB4">
        <f>AA4/10</f>
        <v>1.5939999999999999</v>
      </c>
      <c r="AD4" s="16">
        <v>0.62979999999999992</v>
      </c>
      <c r="AE4" s="16"/>
      <c r="AG4">
        <f>AD28</f>
        <v>1.5710000000000002</v>
      </c>
      <c r="AI4" cm="1">
        <f t="array" ref="AI4:AI11">FREQUENCY(AB4:AB103,AG5:AG14)</f>
        <v>1</v>
      </c>
      <c r="AJ4">
        <f>AD28+AD10/4</f>
        <v>1.5725767406607023</v>
      </c>
      <c r="AN4">
        <v>14.89</v>
      </c>
      <c r="AO4">
        <f>AN4/10</f>
        <v>1.4890000000000001</v>
      </c>
      <c r="AQ4" s="16">
        <v>0.54880000000000007</v>
      </c>
      <c r="AR4" s="16"/>
      <c r="AT4">
        <f>AQ28</f>
        <v>1.472</v>
      </c>
      <c r="AV4" cm="1">
        <f t="array" ref="AV4:AV9">FREQUENCY(AO4:AO103,AT5:AT14)</f>
        <v>3</v>
      </c>
      <c r="AW4">
        <f>AQ28+AQ10/4</f>
        <v>1.4737288403306519</v>
      </c>
      <c r="BA4">
        <v>11.32</v>
      </c>
      <c r="BB4">
        <f>BA4/10</f>
        <v>1.1320000000000001</v>
      </c>
      <c r="BD4" s="16">
        <v>0.31780000000000003</v>
      </c>
      <c r="BE4" s="16"/>
      <c r="BG4">
        <f>BD28</f>
        <v>1.123</v>
      </c>
      <c r="BI4" cm="1">
        <f t="array" ref="BI4:BI9">FREQUENCY(BB4:BB103,BG5:BG14)</f>
        <v>4</v>
      </c>
      <c r="BJ4">
        <f>BD28+BD10/4</f>
        <v>1.1251768989156341</v>
      </c>
      <c r="BN4">
        <v>7.45</v>
      </c>
      <c r="BO4">
        <f>BN4/10</f>
        <v>0.745</v>
      </c>
      <c r="BQ4" s="16">
        <v>0.1278</v>
      </c>
      <c r="BR4" s="16"/>
      <c r="BT4">
        <f>BQ28</f>
        <v>0.71399999999999997</v>
      </c>
      <c r="BV4" cm="1">
        <f t="array" ref="BV4:BV10">FREQUENCY(BO4:BO103,BT5:BT14)</f>
        <v>1</v>
      </c>
      <c r="BW4">
        <f>BQ28+BQ10/4</f>
        <v>0.71663589010898909</v>
      </c>
      <c r="CA4">
        <v>7.61</v>
      </c>
      <c r="CB4">
        <f>CA4/20</f>
        <v>0.3805</v>
      </c>
      <c r="CD4" s="16">
        <v>3.78E-2</v>
      </c>
      <c r="CE4" s="16"/>
      <c r="CG4">
        <f>CD28</f>
        <v>0.3805</v>
      </c>
      <c r="CI4" cm="1">
        <f t="array" ref="CI4:CI8">FREQUENCY(CB4:CB103,CG5:CG14)</f>
        <v>1</v>
      </c>
      <c r="CJ4">
        <f>CD28+CD10/4</f>
        <v>0.3816772584677971</v>
      </c>
      <c r="CN4" s="5">
        <v>3.78E-2</v>
      </c>
      <c r="CO4" s="5"/>
      <c r="CP4">
        <f>LOG(CN4)</f>
        <v>-1.4225082001627747</v>
      </c>
      <c r="CR4">
        <v>0.38659999999999994</v>
      </c>
      <c r="CT4">
        <f>CR4^2</f>
        <v>0.14945955999999996</v>
      </c>
      <c r="CV4">
        <f>LOG(CR4)</f>
        <v>-0.41273815030746586</v>
      </c>
      <c r="CX4" t="s">
        <v>34</v>
      </c>
      <c r="CZ4">
        <f>((CT4-CN4*CT10)^2)/CD10^2</f>
        <v>4.5511927922994494E-2</v>
      </c>
      <c r="DB4">
        <v>1.23</v>
      </c>
      <c r="DC4">
        <f>2*PI()*SQRT(CN4/CX$14)</f>
        <v>0.39009055080436555</v>
      </c>
      <c r="DD4">
        <f>DC4*(1+(DB4^2/16))</f>
        <v>0.42697605044886078</v>
      </c>
      <c r="DH4">
        <f t="shared" ref="DH4:DH9" si="0">DC4-DD4</f>
        <v>-3.6885499644495223E-2</v>
      </c>
      <c r="DK4">
        <f>CR4-DH4</f>
        <v>0.42348549964449517</v>
      </c>
      <c r="DM4">
        <f>(4*PI()^2)*CN4/DK4^2</f>
        <v>8.320979415141867</v>
      </c>
      <c r="DO4">
        <f>DT$1*(CN4^2+DQ$1^2*2/5)</f>
        <v>7.3625731920000004E-5</v>
      </c>
      <c r="DP4">
        <f>2*PI()*SQRT(DO4/(DT$1*CX$14*CN4))</f>
        <v>0.39573061276639293</v>
      </c>
      <c r="DQ4">
        <f>DP4-DC4</f>
        <v>5.6400619620273762E-3</v>
      </c>
    </row>
    <row r="5" spans="1:124" x14ac:dyDescent="0.3">
      <c r="B5">
        <v>0.82</v>
      </c>
      <c r="G5">
        <v>0.78625682094691796</v>
      </c>
      <c r="I5">
        <v>0</v>
      </c>
      <c r="J5">
        <f t="shared" ref="J5:J15" si="1">J4+$D$13</f>
        <v>0.77794261571018852</v>
      </c>
      <c r="N5">
        <v>8.67</v>
      </c>
      <c r="O5">
        <f t="shared" ref="O5:O13" si="2">N5/10</f>
        <v>0.86699999999999999</v>
      </c>
      <c r="T5">
        <f>T4+$Q$13</f>
        <v>0.87105231120376858</v>
      </c>
      <c r="V5">
        <v>1</v>
      </c>
      <c r="W5">
        <f>W4+$Q$13</f>
        <v>0.86936423340282654</v>
      </c>
      <c r="AA5">
        <v>15.79</v>
      </c>
      <c r="AB5">
        <f>AA5/10</f>
        <v>1.579</v>
      </c>
      <c r="AG5">
        <f>AG4+$AD$13</f>
        <v>1.5741534813214042</v>
      </c>
      <c r="AI5">
        <v>0</v>
      </c>
      <c r="AJ5">
        <f>AJ4+$Q$13</f>
        <v>1.5761528962625866</v>
      </c>
      <c r="AN5">
        <v>14.72</v>
      </c>
      <c r="AO5">
        <f>AN5/10</f>
        <v>1.472</v>
      </c>
      <c r="AT5">
        <f>AT4+$AQ$13</f>
        <v>1.475457680661304</v>
      </c>
      <c r="AV5">
        <v>0</v>
      </c>
      <c r="AW5">
        <f>AW4+AQ$13</f>
        <v>1.4771865209919559</v>
      </c>
      <c r="BA5">
        <v>11.25</v>
      </c>
      <c r="BB5">
        <f>BA5/10</f>
        <v>1.125</v>
      </c>
      <c r="BG5">
        <f>BG4+BD$13</f>
        <v>1.1273537978312682</v>
      </c>
      <c r="BI5">
        <v>1</v>
      </c>
      <c r="BJ5">
        <f>BJ4+BD$13</f>
        <v>1.1295306967469023</v>
      </c>
      <c r="BN5">
        <v>7.47</v>
      </c>
      <c r="BO5">
        <f>BN5/10</f>
        <v>0.747</v>
      </c>
      <c r="BT5">
        <f>BT4+BQ$13</f>
        <v>0.71927178021797822</v>
      </c>
      <c r="BV5">
        <v>4</v>
      </c>
      <c r="BW5">
        <f>BW4+BQ$13</f>
        <v>0.72190767032696734</v>
      </c>
      <c r="CA5">
        <v>7.72</v>
      </c>
      <c r="CB5">
        <f t="shared" ref="CB5:CB8" si="3">CA5/20</f>
        <v>0.38600000000000001</v>
      </c>
      <c r="CG5">
        <f>CG4+CD$13</f>
        <v>0.38285451693559425</v>
      </c>
      <c r="CI5">
        <v>1</v>
      </c>
      <c r="CJ5">
        <f>CJ4+CD$13</f>
        <v>0.38403177540339134</v>
      </c>
      <c r="CN5" s="5">
        <v>0.1278</v>
      </c>
      <c r="CO5" s="5"/>
      <c r="CP5">
        <f t="shared" ref="CP5:CP9" si="4">LOG(CN5)</f>
        <v>-0.89346914617761863</v>
      </c>
      <c r="CR5">
        <v>0.72950000000000004</v>
      </c>
      <c r="CT5">
        <f t="shared" ref="CT5:CT9" si="5">CR5^2</f>
        <v>0.53217025000000007</v>
      </c>
      <c r="CV5">
        <f t="shared" ref="CV5:CV9" si="6">LOG(CR5)</f>
        <v>-0.13697470377052956</v>
      </c>
      <c r="CX5" t="s">
        <v>35</v>
      </c>
      <c r="CZ5">
        <f>((CT5-CN5*CT11)^2)/BQ10^2</f>
        <v>2060.6800749821841</v>
      </c>
      <c r="DB5">
        <v>0.5</v>
      </c>
      <c r="DC5">
        <f t="shared" ref="DC5:DC9" si="7">2*PI()*SQRT(CN5/CX$14)</f>
        <v>0.7172737833433912</v>
      </c>
      <c r="DD5">
        <f t="shared" ref="DD5:DD9" si="8">DC5*(1+(DB5^2/16))</f>
        <v>0.72848118620813174</v>
      </c>
      <c r="DH5">
        <f t="shared" si="0"/>
        <v>-1.1207402864740534E-2</v>
      </c>
      <c r="DJ5" s="10"/>
      <c r="DK5">
        <f>CR5-DH5</f>
        <v>0.74070740286474057</v>
      </c>
      <c r="DL5" s="10"/>
      <c r="DM5">
        <f t="shared" ref="DM5:DM9" si="9">4*(PI()^2)*(CN5)/(DK5^2)</f>
        <v>9.1959631063707157</v>
      </c>
      <c r="DO5">
        <f t="shared" ref="DO5:DO8" si="10">DT$1*(CN5^2+DQ$1^2*2/5)</f>
        <v>8.1986901192000001E-4</v>
      </c>
      <c r="DP5">
        <f t="shared" ref="DP5:DP9" si="11">2*PI()*SQRT(DO5/(DT$1*CX$14*CN5))</f>
        <v>0.71818700711514372</v>
      </c>
      <c r="DQ5">
        <f t="shared" ref="DQ5:DQ9" si="12">DP5-DC5</f>
        <v>9.1322377175251379E-4</v>
      </c>
    </row>
    <row r="6" spans="1:124" x14ac:dyDescent="0.3">
      <c r="B6">
        <v>0.85</v>
      </c>
      <c r="D6" s="15" t="s">
        <v>36</v>
      </c>
      <c r="E6" s="15"/>
      <c r="G6">
        <v>0.80488523142037693</v>
      </c>
      <c r="I6">
        <v>1</v>
      </c>
      <c r="J6">
        <f t="shared" si="1"/>
        <v>0.7965710261836475</v>
      </c>
      <c r="N6">
        <v>8.7200000000000006</v>
      </c>
      <c r="O6">
        <f t="shared" si="2"/>
        <v>0.87200000000000011</v>
      </c>
      <c r="Q6" s="15" t="s">
        <v>36</v>
      </c>
      <c r="R6" s="15"/>
      <c r="T6">
        <f t="shared" ref="T6:T9" si="13">T5+$Q$13</f>
        <v>0.87462846680565287</v>
      </c>
      <c r="V6">
        <v>3</v>
      </c>
      <c r="W6">
        <f t="shared" ref="W6:W13" si="14">W5+$Q$13</f>
        <v>0.87294038900471083</v>
      </c>
      <c r="AA6">
        <v>15.79</v>
      </c>
      <c r="AB6">
        <f t="shared" ref="AB6:AB13" si="15">AA6/10</f>
        <v>1.579</v>
      </c>
      <c r="AD6" s="15" t="s">
        <v>36</v>
      </c>
      <c r="AE6" s="15"/>
      <c r="AG6">
        <f t="shared" ref="AG6:AG9" si="16">AG5+$AD$13</f>
        <v>1.5773069626428082</v>
      </c>
      <c r="AI6">
        <v>2</v>
      </c>
      <c r="AJ6">
        <f t="shared" ref="AJ6:AJ11" si="17">AJ5+$Q$13</f>
        <v>1.5797290518644709</v>
      </c>
      <c r="AN6">
        <v>14.84</v>
      </c>
      <c r="AO6">
        <f t="shared" ref="AO6:AO13" si="18">AN6/10</f>
        <v>1.484</v>
      </c>
      <c r="AQ6" s="15" t="s">
        <v>36</v>
      </c>
      <c r="AR6" s="15"/>
      <c r="AT6">
        <f t="shared" ref="AT6:AT9" si="19">AT5+$AQ$13</f>
        <v>1.478915361322608</v>
      </c>
      <c r="AV6">
        <v>2</v>
      </c>
      <c r="AW6">
        <f t="shared" ref="AW6:AW9" si="20">AW5+AQ$13</f>
        <v>1.4806442016532599</v>
      </c>
      <c r="BA6">
        <v>11.23</v>
      </c>
      <c r="BB6">
        <f t="shared" ref="BB6:BB13" si="21">BA6/10</f>
        <v>1.123</v>
      </c>
      <c r="BD6" s="15" t="s">
        <v>36</v>
      </c>
      <c r="BE6" s="15"/>
      <c r="BG6">
        <f t="shared" ref="BG6:BG9" si="22">BG5+BD$13</f>
        <v>1.1317075956625364</v>
      </c>
      <c r="BI6">
        <v>2</v>
      </c>
      <c r="BJ6">
        <f t="shared" ref="BJ6:BJ9" si="23">BJ5+BD$13</f>
        <v>1.1338844945781705</v>
      </c>
      <c r="BN6">
        <v>7.22</v>
      </c>
      <c r="BO6">
        <f t="shared" ref="BO6:BO13" si="24">BN6/10</f>
        <v>0.72199999999999998</v>
      </c>
      <c r="BQ6" s="15" t="s">
        <v>36</v>
      </c>
      <c r="BR6" s="15"/>
      <c r="BT6">
        <f t="shared" ref="BT6:BT10" si="25">BT5+BQ$13</f>
        <v>0.72454356043595647</v>
      </c>
      <c r="BV6">
        <v>1</v>
      </c>
      <c r="BW6">
        <f t="shared" ref="BW6:BW10" si="26">BW5+BQ$13</f>
        <v>0.72717945054494559</v>
      </c>
      <c r="CA6">
        <v>7.68</v>
      </c>
      <c r="CB6">
        <f t="shared" si="3"/>
        <v>0.38400000000000001</v>
      </c>
      <c r="CD6" s="15" t="s">
        <v>36</v>
      </c>
      <c r="CE6" s="15"/>
      <c r="CG6">
        <f t="shared" ref="CG6:CG8" si="27">CG5+CD$13</f>
        <v>0.38520903387118849</v>
      </c>
      <c r="CI6">
        <v>1</v>
      </c>
      <c r="CJ6">
        <f t="shared" ref="CJ6:CJ8" si="28">CJ5+CD$13</f>
        <v>0.38638629233898558</v>
      </c>
      <c r="CN6" s="5">
        <v>0.17780000000000001</v>
      </c>
      <c r="CO6" s="5"/>
      <c r="CP6">
        <f t="shared" si="4"/>
        <v>-0.75006824336580513</v>
      </c>
      <c r="CR6" s="5">
        <v>0.87159999999999993</v>
      </c>
      <c r="CS6" s="5"/>
      <c r="CT6">
        <f t="shared" si="5"/>
        <v>0.7596865599999999</v>
      </c>
      <c r="CV6">
        <f t="shared" si="6"/>
        <v>-5.968277842578202E-2</v>
      </c>
      <c r="CX6" t="s">
        <v>37</v>
      </c>
      <c r="CZ6">
        <f>((CT6-CN6*CT12)^2)/Q10^2</f>
        <v>11281.739845790111</v>
      </c>
      <c r="DB6">
        <v>0.8</v>
      </c>
      <c r="DC6">
        <f t="shared" si="7"/>
        <v>0.84602930962297329</v>
      </c>
      <c r="DD6">
        <f t="shared" si="8"/>
        <v>0.87987048200789231</v>
      </c>
      <c r="DH6">
        <f t="shared" si="0"/>
        <v>-3.3841172384919016E-2</v>
      </c>
      <c r="DJ6" s="11"/>
      <c r="DK6">
        <f t="shared" ref="DK6:DK9" si="29">CR6-DH6</f>
        <v>0.90544117238491895</v>
      </c>
      <c r="DL6" s="10"/>
      <c r="DM6">
        <f t="shared" si="9"/>
        <v>8.5619170408232232</v>
      </c>
      <c r="DO6">
        <f t="shared" si="10"/>
        <v>1.5849386119200003E-3</v>
      </c>
      <c r="DP6">
        <f t="shared" si="11"/>
        <v>0.84658599443935356</v>
      </c>
      <c r="DQ6">
        <f t="shared" si="12"/>
        <v>5.5668481638027068E-4</v>
      </c>
    </row>
    <row r="7" spans="1:124" x14ac:dyDescent="0.3">
      <c r="B7">
        <v>0.86</v>
      </c>
      <c r="D7" s="16">
        <f>AVERAGE(B4:B103)</f>
        <v>0.87089999999999979</v>
      </c>
      <c r="E7" s="16"/>
      <c r="G7">
        <v>0.82351364189383591</v>
      </c>
      <c r="I7">
        <v>10</v>
      </c>
      <c r="J7">
        <f t="shared" si="1"/>
        <v>0.81519943665710648</v>
      </c>
      <c r="N7">
        <v>8.65</v>
      </c>
      <c r="O7">
        <f t="shared" si="2"/>
        <v>0.86499999999999999</v>
      </c>
      <c r="Q7" s="16">
        <f>AVERAGE(O4:O103)</f>
        <v>0.87159999999999993</v>
      </c>
      <c r="R7" s="16"/>
      <c r="T7">
        <f t="shared" si="13"/>
        <v>0.87820462240753716</v>
      </c>
      <c r="V7">
        <v>0</v>
      </c>
      <c r="W7">
        <f t="shared" si="14"/>
        <v>0.87651654460659512</v>
      </c>
      <c r="AA7">
        <v>15.86</v>
      </c>
      <c r="AB7">
        <f t="shared" si="15"/>
        <v>1.5859999999999999</v>
      </c>
      <c r="AD7" s="16">
        <f>AVERAGE(AB4:AB103)</f>
        <v>1.5840000000000001</v>
      </c>
      <c r="AE7" s="16"/>
      <c r="AG7">
        <f t="shared" si="16"/>
        <v>1.5804604439642123</v>
      </c>
      <c r="AI7">
        <v>0</v>
      </c>
      <c r="AJ7">
        <f t="shared" si="17"/>
        <v>1.5833052074663552</v>
      </c>
      <c r="AN7">
        <v>14.74</v>
      </c>
      <c r="AO7">
        <f t="shared" si="18"/>
        <v>1.474</v>
      </c>
      <c r="AQ7" s="16">
        <f>AVERAGE(AO4:AO103)</f>
        <v>1.4816</v>
      </c>
      <c r="AR7" s="16"/>
      <c r="AT7">
        <f t="shared" si="19"/>
        <v>1.4823730419839121</v>
      </c>
      <c r="AV7">
        <v>2</v>
      </c>
      <c r="AW7">
        <f t="shared" si="20"/>
        <v>1.484101882314564</v>
      </c>
      <c r="BA7">
        <v>11.4</v>
      </c>
      <c r="BB7">
        <f t="shared" si="21"/>
        <v>1.1400000000000001</v>
      </c>
      <c r="BD7" s="16">
        <f>AVERAGE(BB4:BB103)</f>
        <v>1.1325999999999996</v>
      </c>
      <c r="BE7" s="16"/>
      <c r="BG7">
        <f t="shared" si="22"/>
        <v>1.1360613934938046</v>
      </c>
      <c r="BI7">
        <v>1</v>
      </c>
      <c r="BJ7">
        <f t="shared" si="23"/>
        <v>1.1382382924094387</v>
      </c>
      <c r="BN7">
        <v>7.34</v>
      </c>
      <c r="BO7">
        <f t="shared" si="24"/>
        <v>0.73399999999999999</v>
      </c>
      <c r="BQ7" s="16">
        <f>AVERAGE(BO4:BO103)</f>
        <v>0.72950000000000004</v>
      </c>
      <c r="BR7" s="16"/>
      <c r="BT7">
        <f t="shared" si="25"/>
        <v>0.72981534065393472</v>
      </c>
      <c r="BV7">
        <v>2</v>
      </c>
      <c r="BW7">
        <f t="shared" si="26"/>
        <v>0.73245123076292384</v>
      </c>
      <c r="CA7">
        <v>7.84</v>
      </c>
      <c r="CB7">
        <f t="shared" si="3"/>
        <v>0.39200000000000002</v>
      </c>
      <c r="CD7" s="16">
        <f>AVERAGE(CB4:CB103)</f>
        <v>0.38659999999999994</v>
      </c>
      <c r="CE7" s="16"/>
      <c r="CG7">
        <f t="shared" si="27"/>
        <v>0.38756355080678273</v>
      </c>
      <c r="CI7">
        <v>0</v>
      </c>
      <c r="CJ7">
        <f t="shared" si="28"/>
        <v>0.38874080927457982</v>
      </c>
      <c r="CN7" s="5">
        <v>0.31780000000000003</v>
      </c>
      <c r="CO7" s="5"/>
      <c r="CP7">
        <f t="shared" si="4"/>
        <v>-0.49784610712863919</v>
      </c>
      <c r="CR7" s="5">
        <v>1.1325999999999996</v>
      </c>
      <c r="CS7" s="5"/>
      <c r="CT7">
        <f t="shared" si="5"/>
        <v>1.282782759999999</v>
      </c>
      <c r="CV7">
        <f t="shared" si="6"/>
        <v>5.4076557290510183E-2</v>
      </c>
      <c r="CX7" t="s">
        <v>38</v>
      </c>
      <c r="CZ7">
        <f>((CT7-CN7*CT13)^2)/BD10^2</f>
        <v>21702.497778691115</v>
      </c>
      <c r="DB7">
        <v>0.6</v>
      </c>
      <c r="DC7">
        <f t="shared" si="7"/>
        <v>1.1310882139141032</v>
      </c>
      <c r="DD7">
        <f t="shared" si="8"/>
        <v>1.1565376987271705</v>
      </c>
      <c r="DH7">
        <f t="shared" si="0"/>
        <v>-2.5449484813067302E-2</v>
      </c>
      <c r="DJ7" s="10"/>
      <c r="DK7">
        <f t="shared" si="29"/>
        <v>1.1580494848130669</v>
      </c>
      <c r="DL7" s="10"/>
      <c r="DM7">
        <f t="shared" si="9"/>
        <v>9.3553360913271408</v>
      </c>
      <c r="DO7">
        <f t="shared" si="10"/>
        <v>5.0589954919200006E-3</v>
      </c>
      <c r="DP7">
        <f t="shared" si="11"/>
        <v>1.1313212237743149</v>
      </c>
      <c r="DQ7">
        <f t="shared" si="12"/>
        <v>2.330098602116859E-4</v>
      </c>
    </row>
    <row r="8" spans="1:124" x14ac:dyDescent="0.3">
      <c r="B8">
        <v>0.87</v>
      </c>
      <c r="G8">
        <v>0.84214205236729489</v>
      </c>
      <c r="I8">
        <v>14</v>
      </c>
      <c r="J8">
        <f t="shared" si="1"/>
        <v>0.83382784713056546</v>
      </c>
      <c r="N8">
        <v>8.73</v>
      </c>
      <c r="O8">
        <f t="shared" si="2"/>
        <v>0.873</v>
      </c>
      <c r="T8">
        <f t="shared" si="13"/>
        <v>0.88178077800942145</v>
      </c>
      <c r="V8">
        <v>1</v>
      </c>
      <c r="W8">
        <f t="shared" si="14"/>
        <v>0.88009270020847941</v>
      </c>
      <c r="AA8">
        <v>15.86</v>
      </c>
      <c r="AB8">
        <f t="shared" si="15"/>
        <v>1.5859999999999999</v>
      </c>
      <c r="AG8">
        <f t="shared" si="16"/>
        <v>1.5836139252856163</v>
      </c>
      <c r="AI8">
        <v>5</v>
      </c>
      <c r="AJ8">
        <f t="shared" si="17"/>
        <v>1.5868813630682395</v>
      </c>
      <c r="AN8">
        <v>14.85</v>
      </c>
      <c r="AO8">
        <f t="shared" si="18"/>
        <v>1.4849999999999999</v>
      </c>
      <c r="AT8">
        <f t="shared" si="19"/>
        <v>1.4858307226452161</v>
      </c>
      <c r="AV8">
        <v>2</v>
      </c>
      <c r="AW8">
        <f t="shared" si="20"/>
        <v>1.487559562975868</v>
      </c>
      <c r="BA8">
        <v>11.43</v>
      </c>
      <c r="BB8">
        <f t="shared" si="21"/>
        <v>1.143</v>
      </c>
      <c r="BG8">
        <f t="shared" si="22"/>
        <v>1.1404151913250729</v>
      </c>
      <c r="BI8">
        <v>1</v>
      </c>
      <c r="BJ8">
        <f t="shared" si="23"/>
        <v>1.142592090240707</v>
      </c>
      <c r="BN8">
        <v>7.24</v>
      </c>
      <c r="BO8">
        <f t="shared" si="24"/>
        <v>0.72399999999999998</v>
      </c>
      <c r="BT8">
        <f t="shared" si="25"/>
        <v>0.73508712087191297</v>
      </c>
      <c r="BV8">
        <v>0</v>
      </c>
      <c r="BW8">
        <f t="shared" si="26"/>
        <v>0.73772301098090209</v>
      </c>
      <c r="CA8">
        <v>7.81</v>
      </c>
      <c r="CB8">
        <f t="shared" si="3"/>
        <v>0.39049999999999996</v>
      </c>
      <c r="CG8">
        <f t="shared" si="27"/>
        <v>0.38991806774237697</v>
      </c>
      <c r="CI8">
        <v>2</v>
      </c>
      <c r="CJ8">
        <f t="shared" si="28"/>
        <v>0.39109532621017407</v>
      </c>
      <c r="CN8" s="5">
        <v>0.54880000000000007</v>
      </c>
      <c r="CO8" s="5"/>
      <c r="CP8">
        <f t="shared" si="4"/>
        <v>-0.26058589730130466</v>
      </c>
      <c r="CR8" s="5">
        <v>1.4816</v>
      </c>
      <c r="CS8" s="5"/>
      <c r="CT8">
        <f t="shared" si="5"/>
        <v>2.1951385600000002</v>
      </c>
      <c r="CV8">
        <f t="shared" si="6"/>
        <v>0.17073096933785911</v>
      </c>
      <c r="CX8" t="s">
        <v>39</v>
      </c>
      <c r="CZ8">
        <f>((CT8-CN8*CT14)^2)/AQ10^2</f>
        <v>100761.38401112844</v>
      </c>
      <c r="DB8">
        <v>0.5</v>
      </c>
      <c r="DC8">
        <f t="shared" si="7"/>
        <v>1.4863688045918968</v>
      </c>
      <c r="DD8">
        <f t="shared" si="8"/>
        <v>1.5095933171636451</v>
      </c>
      <c r="DH8">
        <f t="shared" si="0"/>
        <v>-2.322451257174829E-2</v>
      </c>
      <c r="DJ8" s="10"/>
      <c r="DK8">
        <f t="shared" si="29"/>
        <v>1.5048245125717483</v>
      </c>
      <c r="DL8" s="10"/>
      <c r="DM8">
        <f t="shared" si="9"/>
        <v>9.5675805109550964</v>
      </c>
      <c r="DO8">
        <f t="shared" si="10"/>
        <v>1.5082238413920005E-2</v>
      </c>
      <c r="DP8">
        <f t="shared" si="11"/>
        <v>1.4864714911776693</v>
      </c>
      <c r="DQ8">
        <f t="shared" si="12"/>
        <v>1.0268658577250456E-4</v>
      </c>
    </row>
    <row r="9" spans="1:124" x14ac:dyDescent="0.3">
      <c r="B9">
        <v>0.93</v>
      </c>
      <c r="D9" s="15" t="s">
        <v>40</v>
      </c>
      <c r="E9" s="15"/>
      <c r="G9">
        <v>0.86077046284075387</v>
      </c>
      <c r="I9">
        <v>18</v>
      </c>
      <c r="J9">
        <f t="shared" si="1"/>
        <v>0.85245625760402444</v>
      </c>
      <c r="N9">
        <v>8.69</v>
      </c>
      <c r="O9">
        <f t="shared" si="2"/>
        <v>0.86899999999999999</v>
      </c>
      <c r="Q9" s="15" t="s">
        <v>40</v>
      </c>
      <c r="R9" s="15"/>
      <c r="T9">
        <f t="shared" si="13"/>
        <v>0.88535693361130574</v>
      </c>
      <c r="V9">
        <v>0</v>
      </c>
      <c r="W9">
        <f t="shared" si="14"/>
        <v>0.8836688558103637</v>
      </c>
      <c r="AA9">
        <v>15.85</v>
      </c>
      <c r="AB9">
        <f t="shared" si="15"/>
        <v>1.585</v>
      </c>
      <c r="AD9" s="15" t="s">
        <v>40</v>
      </c>
      <c r="AE9" s="15"/>
      <c r="AG9">
        <f t="shared" si="16"/>
        <v>1.5867674066070203</v>
      </c>
      <c r="AI9">
        <v>1</v>
      </c>
      <c r="AJ9">
        <f t="shared" si="17"/>
        <v>1.5904575186701237</v>
      </c>
      <c r="AN9">
        <v>14.73</v>
      </c>
      <c r="AO9">
        <f t="shared" si="18"/>
        <v>1.4730000000000001</v>
      </c>
      <c r="AQ9" s="15" t="s">
        <v>40</v>
      </c>
      <c r="AR9" s="15"/>
      <c r="AT9">
        <f t="shared" si="19"/>
        <v>1.4892884033065201</v>
      </c>
      <c r="AV9">
        <v>1</v>
      </c>
      <c r="AW9">
        <f t="shared" si="20"/>
        <v>1.491017243637172</v>
      </c>
      <c r="BA9">
        <v>11.33</v>
      </c>
      <c r="BB9">
        <f t="shared" si="21"/>
        <v>1.133</v>
      </c>
      <c r="BD9" s="15" t="s">
        <v>40</v>
      </c>
      <c r="BE9" s="15"/>
      <c r="BG9">
        <f t="shared" si="22"/>
        <v>1.1447689891563411</v>
      </c>
      <c r="BI9">
        <v>1</v>
      </c>
      <c r="BJ9">
        <f t="shared" si="23"/>
        <v>1.1469458880719752</v>
      </c>
      <c r="BN9">
        <v>7.29</v>
      </c>
      <c r="BO9">
        <f t="shared" si="24"/>
        <v>0.72899999999999998</v>
      </c>
      <c r="BQ9" s="15" t="s">
        <v>40</v>
      </c>
      <c r="BR9" s="15"/>
      <c r="BT9">
        <f t="shared" si="25"/>
        <v>0.74035890108989122</v>
      </c>
      <c r="BV9">
        <v>1</v>
      </c>
      <c r="BW9">
        <f t="shared" si="26"/>
        <v>0.74299479119888034</v>
      </c>
      <c r="CD9" s="15" t="s">
        <v>40</v>
      </c>
      <c r="CE9" s="15"/>
      <c r="CN9" s="5">
        <v>0.62979999999999992</v>
      </c>
      <c r="CO9" s="5"/>
      <c r="CP9">
        <f t="shared" si="4"/>
        <v>-0.20079734369947497</v>
      </c>
      <c r="CR9">
        <v>1.5840000000000001</v>
      </c>
      <c r="CT9">
        <f t="shared" si="5"/>
        <v>2.5090560000000002</v>
      </c>
      <c r="CV9">
        <f t="shared" si="6"/>
        <v>0.19975517725347472</v>
      </c>
      <c r="CX9" t="s">
        <v>41</v>
      </c>
      <c r="CZ9">
        <f>((CT9-CN9*CT15)^2)/AD10^2</f>
        <v>158263.29078275251</v>
      </c>
      <c r="DB9">
        <v>0.2</v>
      </c>
      <c r="DC9">
        <f t="shared" si="7"/>
        <v>1.5922852010441924</v>
      </c>
      <c r="DD9">
        <f t="shared" si="8"/>
        <v>1.5962659140468027</v>
      </c>
      <c r="DH9">
        <f t="shared" si="0"/>
        <v>-3.980713002610381E-3</v>
      </c>
      <c r="DK9">
        <f t="shared" si="29"/>
        <v>1.5879807130026105</v>
      </c>
      <c r="DM9">
        <f t="shared" si="9"/>
        <v>9.8598871954937621</v>
      </c>
      <c r="DO9">
        <f>DT$1*(CN9^2+DQ$1^2*2/5)</f>
        <v>1.9862251075919997E-2</v>
      </c>
      <c r="DP9">
        <f t="shared" si="11"/>
        <v>1.5923687295080065</v>
      </c>
      <c r="DQ9">
        <f t="shared" si="12"/>
        <v>8.352846381409762E-5</v>
      </c>
    </row>
    <row r="10" spans="1:124" x14ac:dyDescent="0.3">
      <c r="B10">
        <v>0.91</v>
      </c>
      <c r="D10" s="16">
        <f>STDEV(B4:B103)</f>
        <v>3.7256820946917998E-2</v>
      </c>
      <c r="E10" s="16"/>
      <c r="G10">
        <v>0.87939887331421285</v>
      </c>
      <c r="I10">
        <v>6</v>
      </c>
      <c r="J10">
        <f t="shared" si="1"/>
        <v>0.87108466807748341</v>
      </c>
      <c r="N10">
        <v>8.74</v>
      </c>
      <c r="O10">
        <f t="shared" si="2"/>
        <v>0.874</v>
      </c>
      <c r="Q10" s="16">
        <f>STDEV(O4:O103)</f>
        <v>7.1523112037686744E-3</v>
      </c>
      <c r="R10" s="16"/>
      <c r="V10">
        <v>1</v>
      </c>
      <c r="W10">
        <f t="shared" si="14"/>
        <v>0.88724501141224799</v>
      </c>
      <c r="AA10">
        <v>15.71</v>
      </c>
      <c r="AB10">
        <f t="shared" si="15"/>
        <v>1.5710000000000002</v>
      </c>
      <c r="AD10" s="16">
        <f>STDEV(AB4:AB103)</f>
        <v>6.3069626428080899E-3</v>
      </c>
      <c r="AE10" s="16"/>
      <c r="AG10">
        <f>AG9+$AD$13</f>
        <v>1.5899208879284243</v>
      </c>
      <c r="AI10">
        <v>0</v>
      </c>
      <c r="AJ10">
        <f t="shared" si="17"/>
        <v>1.594033674272008</v>
      </c>
      <c r="AN10">
        <v>14.91</v>
      </c>
      <c r="AO10">
        <f t="shared" si="18"/>
        <v>1.4910000000000001</v>
      </c>
      <c r="AQ10" s="16">
        <f>STDEV(AO4:AO103)</f>
        <v>6.9153613226079829E-3</v>
      </c>
      <c r="AR10" s="16"/>
      <c r="BA10">
        <v>11.26</v>
      </c>
      <c r="BB10">
        <f t="shared" si="21"/>
        <v>1.1259999999999999</v>
      </c>
      <c r="BD10" s="16">
        <f>STDEV(BB4:BB103)</f>
        <v>8.7075956625364062E-3</v>
      </c>
      <c r="BE10" s="16"/>
      <c r="BN10">
        <v>7.22</v>
      </c>
      <c r="BO10">
        <f t="shared" si="24"/>
        <v>0.72199999999999998</v>
      </c>
      <c r="BQ10" s="16">
        <f>STDEV(BO4:BO103)</f>
        <v>1.0543560435956483E-2</v>
      </c>
      <c r="BR10" s="16"/>
      <c r="BT10">
        <f t="shared" si="25"/>
        <v>0.74563068130786947</v>
      </c>
      <c r="BV10">
        <v>1</v>
      </c>
      <c r="BW10">
        <f t="shared" si="26"/>
        <v>0.74826657141685859</v>
      </c>
      <c r="CD10" s="16">
        <f>STDEV(CB4:CB103)</f>
        <v>4.7090338711884344E-3</v>
      </c>
      <c r="CE10" s="16"/>
      <c r="CM10" s="17" t="s">
        <v>42</v>
      </c>
      <c r="CN10" s="6">
        <v>1</v>
      </c>
      <c r="CT10" s="13">
        <f>_xlfn.FORECAST.LINEAR(CN10,CT4:CT9,CN4:CN9)</f>
        <v>3.980533410250465</v>
      </c>
      <c r="DH10" s="8" t="s">
        <v>43</v>
      </c>
      <c r="DI10" s="9"/>
      <c r="DQ10" s="8" t="s">
        <v>44</v>
      </c>
      <c r="DR10" s="9"/>
    </row>
    <row r="11" spans="1:124" x14ac:dyDescent="0.3">
      <c r="B11">
        <v>0.88</v>
      </c>
      <c r="G11">
        <v>0.89802728378767183</v>
      </c>
      <c r="I11">
        <v>25</v>
      </c>
      <c r="J11">
        <f t="shared" si="1"/>
        <v>0.88971307855094239</v>
      </c>
      <c r="N11">
        <v>8.64</v>
      </c>
      <c r="O11">
        <f t="shared" si="2"/>
        <v>0.8640000000000001</v>
      </c>
      <c r="W11">
        <f t="shared" si="14"/>
        <v>0.89082116701413228</v>
      </c>
      <c r="AA11">
        <v>15.86</v>
      </c>
      <c r="AB11">
        <f t="shared" si="15"/>
        <v>1.5859999999999999</v>
      </c>
      <c r="AG11">
        <f>AG10+$AD$13</f>
        <v>1.5930743692498284</v>
      </c>
      <c r="AI11">
        <v>1</v>
      </c>
      <c r="AJ11">
        <f t="shared" si="17"/>
        <v>1.5976098298738923</v>
      </c>
      <c r="AN11">
        <v>14.88</v>
      </c>
      <c r="AO11">
        <f t="shared" si="18"/>
        <v>1.488</v>
      </c>
      <c r="BA11">
        <v>11.26</v>
      </c>
      <c r="BB11">
        <f t="shared" si="21"/>
        <v>1.1259999999999999</v>
      </c>
      <c r="BN11">
        <v>7.24</v>
      </c>
      <c r="BO11">
        <f t="shared" si="24"/>
        <v>0.72399999999999998</v>
      </c>
      <c r="CM11" s="17"/>
      <c r="CN11" s="6">
        <v>2</v>
      </c>
      <c r="CT11" s="7">
        <f>_xlfn.FORECAST.LINEAR(CN11,CT5:CT10,CN5:CN10)</f>
        <v>7.9091718495425374</v>
      </c>
      <c r="CW11" s="3" t="s">
        <v>45</v>
      </c>
      <c r="CY11">
        <v>3.98053341</v>
      </c>
    </row>
    <row r="12" spans="1:124" x14ac:dyDescent="0.3">
      <c r="B12">
        <v>0.85</v>
      </c>
      <c r="D12" s="15" t="s">
        <v>46</v>
      </c>
      <c r="E12" s="15"/>
      <c r="G12">
        <v>0.9166556942611308</v>
      </c>
      <c r="I12">
        <v>16</v>
      </c>
      <c r="J12">
        <f t="shared" si="1"/>
        <v>0.90834148902440137</v>
      </c>
      <c r="N12">
        <v>8.8699999999999992</v>
      </c>
      <c r="O12">
        <f t="shared" si="2"/>
        <v>0.8869999999999999</v>
      </c>
      <c r="Q12" s="15" t="s">
        <v>46</v>
      </c>
      <c r="R12" s="15"/>
      <c r="W12">
        <f t="shared" si="14"/>
        <v>0.89439732261601657</v>
      </c>
      <c r="AA12">
        <v>15.89</v>
      </c>
      <c r="AB12">
        <f t="shared" si="15"/>
        <v>1.589</v>
      </c>
      <c r="AD12" s="15" t="s">
        <v>46</v>
      </c>
      <c r="AE12" s="15"/>
      <c r="AN12">
        <v>14.8</v>
      </c>
      <c r="AO12">
        <f t="shared" si="18"/>
        <v>1.48</v>
      </c>
      <c r="AQ12" s="15" t="s">
        <v>46</v>
      </c>
      <c r="AR12" s="15"/>
      <c r="BA12">
        <v>11.29</v>
      </c>
      <c r="BB12">
        <f t="shared" si="21"/>
        <v>1.129</v>
      </c>
      <c r="BD12" s="15" t="s">
        <v>46</v>
      </c>
      <c r="BE12" s="15"/>
      <c r="BN12">
        <v>7.34</v>
      </c>
      <c r="BO12">
        <f t="shared" si="24"/>
        <v>0.73399999999999999</v>
      </c>
      <c r="BQ12" s="15" t="s">
        <v>46</v>
      </c>
      <c r="BR12" s="15"/>
      <c r="CD12" s="15" t="s">
        <v>46</v>
      </c>
      <c r="CE12" s="15"/>
      <c r="CN12" s="5"/>
      <c r="CW12" t="s">
        <v>47</v>
      </c>
      <c r="CX12">
        <f>4*(PI()^2)/CY11</f>
        <v>9.9178711840927445</v>
      </c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</row>
    <row r="13" spans="1:124" x14ac:dyDescent="0.3">
      <c r="B13">
        <v>0.8</v>
      </c>
      <c r="D13" s="16">
        <f>D10/2</f>
        <v>1.8628410473458999E-2</v>
      </c>
      <c r="E13" s="16"/>
      <c r="G13">
        <v>0.93528410473458978</v>
      </c>
      <c r="I13">
        <v>6</v>
      </c>
      <c r="J13">
        <f t="shared" si="1"/>
        <v>0.92696989949786035</v>
      </c>
      <c r="N13">
        <v>8.7899999999999991</v>
      </c>
      <c r="O13">
        <f t="shared" si="2"/>
        <v>0.87899999999999989</v>
      </c>
      <c r="Q13" s="16">
        <f>Q10/2</f>
        <v>3.5761556018843372E-3</v>
      </c>
      <c r="R13" s="16"/>
      <c r="W13">
        <f t="shared" si="14"/>
        <v>0.89797347821790086</v>
      </c>
      <c r="AA13">
        <v>15.85</v>
      </c>
      <c r="AB13">
        <f t="shared" si="15"/>
        <v>1.585</v>
      </c>
      <c r="AD13" s="16">
        <f>AD10/2</f>
        <v>3.153481321404045E-3</v>
      </c>
      <c r="AE13" s="16"/>
      <c r="AN13">
        <v>14.8</v>
      </c>
      <c r="AO13">
        <f t="shared" si="18"/>
        <v>1.48</v>
      </c>
      <c r="AQ13" s="16">
        <f>AQ10/2</f>
        <v>3.4576806613039915E-3</v>
      </c>
      <c r="AR13" s="16"/>
      <c r="BA13">
        <v>11.49</v>
      </c>
      <c r="BB13">
        <f t="shared" si="21"/>
        <v>1.149</v>
      </c>
      <c r="BD13" s="16">
        <f>BD10/2</f>
        <v>4.3537978312682031E-3</v>
      </c>
      <c r="BE13" s="16"/>
      <c r="BN13">
        <v>7.14</v>
      </c>
      <c r="BO13">
        <f t="shared" si="24"/>
        <v>0.71399999999999997</v>
      </c>
      <c r="BQ13" s="16">
        <f>BQ10/2</f>
        <v>5.2717802179782416E-3</v>
      </c>
      <c r="BR13" s="16"/>
      <c r="CD13" s="16">
        <f>CD10/2</f>
        <v>2.3545169355942172E-3</v>
      </c>
      <c r="CE13" s="16"/>
    </row>
    <row r="14" spans="1:124" x14ac:dyDescent="0.3">
      <c r="B14">
        <v>0.92</v>
      </c>
      <c r="G14">
        <v>0.95391251520804876</v>
      </c>
      <c r="I14">
        <v>0</v>
      </c>
      <c r="J14">
        <f t="shared" si="1"/>
        <v>0.94559830997131933</v>
      </c>
      <c r="CW14" t="s">
        <v>48</v>
      </c>
      <c r="CX14">
        <v>9.8066499999999994</v>
      </c>
      <c r="DB14" s="3" t="s">
        <v>49</v>
      </c>
    </row>
    <row r="15" spans="1:124" x14ac:dyDescent="0.3">
      <c r="B15">
        <v>0.89</v>
      </c>
      <c r="D15" s="15" t="s">
        <v>50</v>
      </c>
      <c r="E15" s="15"/>
      <c r="I15">
        <v>3</v>
      </c>
      <c r="J15">
        <f t="shared" si="1"/>
        <v>0.96422672044477831</v>
      </c>
      <c r="Q15" s="15" t="s">
        <v>50</v>
      </c>
      <c r="R15" s="15"/>
      <c r="AD15" s="15" t="s">
        <v>50</v>
      </c>
      <c r="AE15" s="15"/>
      <c r="AQ15" s="15" t="s">
        <v>50</v>
      </c>
      <c r="AR15" s="15"/>
      <c r="BD15" s="15" t="s">
        <v>50</v>
      </c>
      <c r="BE15" s="15"/>
      <c r="BQ15" s="15" t="s">
        <v>50</v>
      </c>
      <c r="BR15" s="15"/>
      <c r="CD15" s="15" t="s">
        <v>50</v>
      </c>
      <c r="CE15" s="15"/>
      <c r="DB15" s="14" t="s">
        <v>51</v>
      </c>
      <c r="DC15" s="3" t="s">
        <v>52</v>
      </c>
    </row>
    <row r="16" spans="1:124" x14ac:dyDescent="0.3">
      <c r="B16">
        <v>0.87</v>
      </c>
      <c r="D16" s="16">
        <f>D10/10</f>
        <v>3.7256820946917997E-3</v>
      </c>
      <c r="E16" s="16"/>
      <c r="Q16" s="16">
        <f>Q10/SQRT(10)</f>
        <v>2.2617593938249686E-3</v>
      </c>
      <c r="R16" s="16"/>
      <c r="AD16" s="16">
        <f>AD10/SQRT(10)</f>
        <v>1.9944367068868542E-3</v>
      </c>
      <c r="AE16" s="16"/>
      <c r="AQ16" s="16">
        <f>AQ10/SQRT(10)</f>
        <v>2.1868292622475678E-3</v>
      </c>
      <c r="AR16" s="16"/>
      <c r="BD16" s="16">
        <f>BD10/SQRT(10)</f>
        <v>2.7535835237417956E-3</v>
      </c>
      <c r="BE16" s="16"/>
      <c r="BQ16" s="16">
        <f>BQ10/SQRT(10)</f>
        <v>3.3341665625260361E-3</v>
      </c>
      <c r="BR16" s="16"/>
      <c r="CD16" s="16">
        <f>CD10/SQRT(10)</f>
        <v>1.4891272611835408E-3</v>
      </c>
      <c r="CE16" s="16"/>
      <c r="DB16">
        <f>SUM(CZ4:CZ9)</f>
        <v>294069.63800527225</v>
      </c>
      <c r="DC16">
        <f>DB16/5</f>
        <v>58813.927601054449</v>
      </c>
      <c r="DE16" t="s">
        <v>53</v>
      </c>
    </row>
    <row r="17" spans="2:88" x14ac:dyDescent="0.3">
      <c r="B17">
        <v>0.82</v>
      </c>
    </row>
    <row r="18" spans="2:88" x14ac:dyDescent="0.3">
      <c r="B18">
        <v>0.83</v>
      </c>
      <c r="D18" s="15" t="s">
        <v>54</v>
      </c>
      <c r="E18" s="15"/>
      <c r="Q18" s="15" t="s">
        <v>54</v>
      </c>
      <c r="R18" s="15"/>
      <c r="AD18" s="15" t="s">
        <v>54</v>
      </c>
      <c r="AE18" s="15"/>
      <c r="AQ18" s="15" t="s">
        <v>54</v>
      </c>
      <c r="AR18" s="15"/>
      <c r="BD18" s="15" t="s">
        <v>54</v>
      </c>
      <c r="BE18" s="15"/>
      <c r="BQ18" s="15" t="s">
        <v>54</v>
      </c>
      <c r="BR18" s="15"/>
      <c r="CD18" s="15" t="s">
        <v>54</v>
      </c>
      <c r="CE18" s="15"/>
    </row>
    <row r="19" spans="2:88" x14ac:dyDescent="0.3">
      <c r="B19">
        <v>0.81</v>
      </c>
      <c r="D19" s="16">
        <v>9.8066499999999994</v>
      </c>
      <c r="E19" s="16"/>
      <c r="Q19" s="16">
        <v>9.8066499999999994</v>
      </c>
      <c r="R19" s="16"/>
      <c r="AD19" s="16">
        <v>9.8066499999999994</v>
      </c>
      <c r="AE19" s="16"/>
      <c r="AQ19" s="16">
        <v>9.8066499999999994</v>
      </c>
      <c r="AR19" s="16"/>
      <c r="BD19" s="16">
        <v>9.8066499999999994</v>
      </c>
      <c r="BE19" s="16"/>
      <c r="BQ19" s="16">
        <v>9.8066499999999994</v>
      </c>
      <c r="BR19" s="16"/>
      <c r="CD19" s="16">
        <v>9.8066499999999994</v>
      </c>
      <c r="CE19" s="16"/>
    </row>
    <row r="20" spans="2:88" x14ac:dyDescent="0.3">
      <c r="B20" s="1">
        <v>0.93</v>
      </c>
      <c r="O20" s="1"/>
      <c r="AB20" s="1"/>
      <c r="AO20" s="1"/>
      <c r="BB20" s="1"/>
      <c r="BO20" s="1"/>
      <c r="CB20" s="1"/>
    </row>
    <row r="21" spans="2:88" x14ac:dyDescent="0.3">
      <c r="B21" s="1">
        <v>0.93</v>
      </c>
      <c r="D21" s="15" t="s">
        <v>55</v>
      </c>
      <c r="E21" s="15"/>
      <c r="H21" t="s">
        <v>56</v>
      </c>
      <c r="I21" t="s">
        <v>57</v>
      </c>
      <c r="J21" t="s">
        <v>16</v>
      </c>
      <c r="O21" s="1"/>
      <c r="Q21" s="15" t="s">
        <v>55</v>
      </c>
      <c r="R21" s="15"/>
      <c r="V21" t="s">
        <v>57</v>
      </c>
      <c r="W21" t="s">
        <v>16</v>
      </c>
      <c r="AB21" s="1"/>
      <c r="AD21" s="15" t="s">
        <v>55</v>
      </c>
      <c r="AE21" s="15"/>
      <c r="AI21" t="s">
        <v>57</v>
      </c>
      <c r="AJ21" t="s">
        <v>16</v>
      </c>
      <c r="AO21" s="1"/>
      <c r="AQ21" s="15" t="s">
        <v>55</v>
      </c>
      <c r="AR21" s="15"/>
      <c r="AV21" t="s">
        <v>57</v>
      </c>
      <c r="AW21" t="s">
        <v>16</v>
      </c>
      <c r="BB21" s="1"/>
      <c r="BD21" s="15" t="s">
        <v>55</v>
      </c>
      <c r="BE21" s="15"/>
      <c r="BI21" t="s">
        <v>57</v>
      </c>
      <c r="BJ21" t="s">
        <v>16</v>
      </c>
      <c r="BO21" s="1"/>
      <c r="BQ21" s="15" t="s">
        <v>55</v>
      </c>
      <c r="BR21" s="15"/>
      <c r="BV21" t="s">
        <v>57</v>
      </c>
      <c r="BW21" t="s">
        <v>16</v>
      </c>
      <c r="CB21" s="1"/>
      <c r="CD21" s="15" t="s">
        <v>55</v>
      </c>
      <c r="CE21" s="15"/>
      <c r="CI21" t="s">
        <v>57</v>
      </c>
      <c r="CJ21" t="s">
        <v>16</v>
      </c>
    </row>
    <row r="22" spans="2:88" x14ac:dyDescent="0.3">
      <c r="B22" s="1">
        <v>0.89</v>
      </c>
      <c r="D22" s="16">
        <f>($D$4*(2*PI())^2)/$D$7^2</f>
        <v>9.2545416061841319</v>
      </c>
      <c r="E22" s="16"/>
      <c r="H22">
        <f>I22*100/G$30</f>
        <v>0.22513992841677288</v>
      </c>
      <c r="I22">
        <f>_xlfn.NORM.DIST(J22,D$7,D$10,FALSE)</f>
        <v>0.12073457896547674</v>
      </c>
      <c r="J22">
        <v>0.75931420523672954</v>
      </c>
      <c r="O22" s="1"/>
      <c r="Q22" s="16">
        <f>(Q4*(2*PI())^2)/Q7^2</f>
        <v>9.2396825475690303</v>
      </c>
      <c r="R22" s="16"/>
      <c r="V22">
        <f>_xlfn.NORM.DIST(W22,Q$7,Q$10,FALSE)</f>
        <v>40.094013310977246</v>
      </c>
      <c r="W22">
        <v>0.86578807780094225</v>
      </c>
      <c r="AB22" s="1"/>
      <c r="AD22" s="16">
        <f>(AD4*(2*PI())^2)/AD7^2</f>
        <v>9.9095067655820781</v>
      </c>
      <c r="AE22" s="16"/>
      <c r="AI22">
        <f>_xlfn.NORM.DIST(AJ22,AD$7,AD$10,FALSE)</f>
        <v>12.267020206637685</v>
      </c>
      <c r="AJ22">
        <v>1.5725767406607023</v>
      </c>
      <c r="AO22" s="1"/>
      <c r="AQ22" s="16">
        <f>(AQ4*(2*PI())^2)/AQ7^2</f>
        <v>9.8698806426467041</v>
      </c>
      <c r="AR22" s="16"/>
      <c r="AV22">
        <f>_xlfn.NORM.DIST(AW22,AQ$7,AQ$10,FALSE)</f>
        <v>30.183825639652028</v>
      </c>
      <c r="AW22">
        <v>1.4737288403306519</v>
      </c>
      <c r="BB22" s="1"/>
      <c r="BD22" s="16">
        <f>(BD4*(2*PI())^2)/BD7^2</f>
        <v>9.7804877847475922</v>
      </c>
      <c r="BE22" s="16"/>
      <c r="BI22">
        <f>_xlfn.NORM.DIST(BJ22,BD$7,BD$10,FALSE)</f>
        <v>31.856934198754143</v>
      </c>
      <c r="BJ22">
        <v>1.1251768989156341</v>
      </c>
      <c r="BO22" s="1"/>
      <c r="BQ22" s="16">
        <f>(BQ4*(2*PI())^2)/BQ7^2</f>
        <v>9.4806911319016418</v>
      </c>
      <c r="BR22" s="16"/>
      <c r="BV22">
        <f>_xlfn.NORM.DIST(BW22,BQ$7,BQ$10,FALSE)</f>
        <v>17.97513939540713</v>
      </c>
      <c r="BW22">
        <v>0.71663589010898909</v>
      </c>
      <c r="CB22" s="1"/>
      <c r="CD22" s="16">
        <f>(CD4*(2*PI())^2)/CD7^2</f>
        <v>9.9845348497259803</v>
      </c>
      <c r="CE22" s="16"/>
      <c r="CI22">
        <f>_xlfn.NORM.DIST(CJ22,CD$7,CD$10,FALSE)</f>
        <v>49.053998976713167</v>
      </c>
      <c r="CJ22">
        <v>0.3816772584677971</v>
      </c>
    </row>
    <row r="23" spans="2:88" x14ac:dyDescent="0.3">
      <c r="B23" s="1">
        <v>0.82</v>
      </c>
      <c r="H23">
        <f t="shared" ref="H23:H34" si="30">I23*100/G$30</f>
        <v>0.88824162006278562</v>
      </c>
      <c r="I23">
        <f t="shared" ref="I23:I34" si="31">_xlfn.NORM.DIST(J23,D$7,D$10,FALSE)</f>
        <v>0.47633255803195818</v>
      </c>
      <c r="J23">
        <v>0.77794261571018852</v>
      </c>
      <c r="O23" s="1"/>
      <c r="V23">
        <f t="shared" ref="V23:V31" si="32">_xlfn.NORM.DIST(W23,Q$7,Q$10,FALSE)</f>
        <v>53.118423225002857</v>
      </c>
      <c r="W23">
        <v>0.86936423340282654</v>
      </c>
      <c r="AB23" s="1"/>
      <c r="AI23">
        <f t="shared" ref="AI23:AI32" si="33">_xlfn.NORM.DIST(AJ23,AD$7,AD$10,FALSE)</f>
        <v>29.170254410857812</v>
      </c>
      <c r="AJ23">
        <v>1.5761528962625866</v>
      </c>
      <c r="AO23" s="1"/>
      <c r="AV23">
        <f t="shared" ref="AV23:AV34" si="34">_xlfn.NORM.DIST(AW23,AQ$7,AQ$10,FALSE)</f>
        <v>47.059516287614727</v>
      </c>
      <c r="AW23">
        <v>1.4771865209919559</v>
      </c>
      <c r="BB23" s="1"/>
      <c r="BI23">
        <f t="shared" ref="BI23:BI33" si="35">_xlfn.NORM.DIST(BJ23,BD$7,BD$10,FALSE)</f>
        <v>43.055842667153108</v>
      </c>
      <c r="BJ23">
        <v>1.1295306967469023</v>
      </c>
      <c r="BO23" s="1"/>
      <c r="BV23">
        <f t="shared" ref="BV23:BV31" si="36">_xlfn.NORM.DIST(BW23,BQ$7,BQ$10,FALSE)</f>
        <v>29.196109848607364</v>
      </c>
      <c r="BW23">
        <v>0.72190767032696734</v>
      </c>
      <c r="CB23" s="1"/>
      <c r="CI23">
        <f t="shared" ref="CI23:CI33" si="37">_xlfn.NORM.DIST(CJ23,CD$7,CD$10,FALSE)</f>
        <v>73.011207296676673</v>
      </c>
      <c r="CJ23">
        <v>0.38403177540339134</v>
      </c>
    </row>
    <row r="24" spans="2:88" x14ac:dyDescent="0.3">
      <c r="B24" s="1">
        <v>0.89</v>
      </c>
      <c r="D24" s="15" t="s">
        <v>58</v>
      </c>
      <c r="E24" s="15"/>
      <c r="H24">
        <f t="shared" si="30"/>
        <v>2.7292045942704353</v>
      </c>
      <c r="I24">
        <f t="shared" si="31"/>
        <v>1.4635758744220038</v>
      </c>
      <c r="J24">
        <v>0.7965710261836475</v>
      </c>
      <c r="O24" s="1"/>
      <c r="Q24" s="15" t="s">
        <v>58</v>
      </c>
      <c r="R24" s="15"/>
      <c r="V24">
        <f t="shared" si="32"/>
        <v>54.807147470912916</v>
      </c>
      <c r="W24">
        <v>0.87294038900471083</v>
      </c>
      <c r="AB24" s="1"/>
      <c r="AD24" s="15" t="s">
        <v>58</v>
      </c>
      <c r="AE24" s="15"/>
      <c r="AI24">
        <f t="shared" si="33"/>
        <v>50.293520606722133</v>
      </c>
      <c r="AJ24">
        <v>1.5797290518644709</v>
      </c>
      <c r="AO24" s="1"/>
      <c r="AQ24" s="15" t="s">
        <v>58</v>
      </c>
      <c r="AR24" s="15"/>
      <c r="AV24">
        <f t="shared" si="34"/>
        <v>57.140891754613385</v>
      </c>
      <c r="AW24">
        <v>1.4806442016532599</v>
      </c>
      <c r="BB24" s="1"/>
      <c r="BD24" s="15" t="s">
        <v>58</v>
      </c>
      <c r="BE24" s="15"/>
      <c r="BI24">
        <f t="shared" si="35"/>
        <v>45.319654252247929</v>
      </c>
      <c r="BJ24">
        <v>1.1338844945781705</v>
      </c>
      <c r="BO24" s="1"/>
      <c r="BQ24" s="15" t="s">
        <v>58</v>
      </c>
      <c r="BR24" s="15"/>
      <c r="BV24">
        <f t="shared" si="36"/>
        <v>36.932107458432597</v>
      </c>
      <c r="BW24">
        <v>0.72717945054494559</v>
      </c>
      <c r="CB24" s="1"/>
      <c r="CD24" s="15" t="s">
        <v>58</v>
      </c>
      <c r="CE24" s="15"/>
      <c r="CI24">
        <f t="shared" si="37"/>
        <v>84.631301873815985</v>
      </c>
      <c r="CJ24">
        <v>0.38638629233898558</v>
      </c>
    </row>
    <row r="25" spans="2:88" x14ac:dyDescent="0.3">
      <c r="B25" s="1">
        <v>0.96</v>
      </c>
      <c r="D25" s="16">
        <f>(D19-D22)*100/D19</f>
        <v>5.629938804952431</v>
      </c>
      <c r="E25" s="16"/>
      <c r="H25">
        <f t="shared" si="30"/>
        <v>6.5308159987407457</v>
      </c>
      <c r="I25">
        <f t="shared" si="31"/>
        <v>3.502245583241558</v>
      </c>
      <c r="J25">
        <v>0.81519943665710648</v>
      </c>
      <c r="O25" s="1"/>
      <c r="Q25" s="16">
        <f>(Q19-Q22)*100/Q19</f>
        <v>5.7814590347465158</v>
      </c>
      <c r="R25" s="16"/>
      <c r="V25">
        <f t="shared" si="32"/>
        <v>44.040840915834259</v>
      </c>
      <c r="W25">
        <v>0.87651654460659512</v>
      </c>
      <c r="AB25" s="1"/>
      <c r="AD25" s="16">
        <f>(AD19-AD22)*100/AD19</f>
        <v>-1.0488471147851579</v>
      </c>
      <c r="AE25" s="16"/>
      <c r="AI25">
        <f t="shared" si="33"/>
        <v>62.871604455278415</v>
      </c>
      <c r="AJ25">
        <v>1.5833052074663552</v>
      </c>
      <c r="AO25" s="1"/>
      <c r="AQ25" s="16">
        <f>(AQ19-AQ22)*100/AQ19</f>
        <v>-0.64477311463858344</v>
      </c>
      <c r="AR25" s="16"/>
      <c r="AV25">
        <f t="shared" si="34"/>
        <v>54.034725338821175</v>
      </c>
      <c r="AW25">
        <v>1.484101882314564</v>
      </c>
      <c r="BB25" s="1"/>
      <c r="BD25" s="16">
        <f>(BD19-BD22)*100/BD19</f>
        <v>0.26678035060298116</v>
      </c>
      <c r="BE25" s="16"/>
      <c r="BI25">
        <f t="shared" si="35"/>
        <v>37.150739411213515</v>
      </c>
      <c r="BJ25">
        <v>1.1382382924094387</v>
      </c>
      <c r="BO25" s="1"/>
      <c r="BQ25" s="16">
        <f>(BQ19-BQ22)*100/BQ19</f>
        <v>3.3238554256382926</v>
      </c>
      <c r="BR25" s="16"/>
      <c r="BV25">
        <f t="shared" si="36"/>
        <v>36.38392699436303</v>
      </c>
      <c r="BW25">
        <v>0.73245123076292384</v>
      </c>
      <c r="CB25" s="1"/>
      <c r="CD25" s="16">
        <f>(CD19-CD22)*100/CD19</f>
        <v>-1.8139206530872505</v>
      </c>
      <c r="CE25" s="16"/>
      <c r="CI25">
        <f t="shared" si="37"/>
        <v>76.400973588743128</v>
      </c>
      <c r="CJ25">
        <v>0.38874080927457982</v>
      </c>
    </row>
    <row r="26" spans="2:88" x14ac:dyDescent="0.3">
      <c r="B26" s="1">
        <v>0.9</v>
      </c>
      <c r="G26">
        <f>SUM(H22:H34)</f>
        <v>100</v>
      </c>
      <c r="H26">
        <f t="shared" si="30"/>
        <v>12.170969715922554</v>
      </c>
      <c r="I26">
        <f t="shared" si="31"/>
        <v>6.5268604933251071</v>
      </c>
      <c r="J26">
        <v>0.83382784713056546</v>
      </c>
      <c r="O26" s="1"/>
      <c r="V26">
        <f t="shared" si="32"/>
        <v>27.561343642795606</v>
      </c>
      <c r="W26">
        <v>0.88009270020847941</v>
      </c>
      <c r="AB26" s="1"/>
      <c r="AI26">
        <f t="shared" si="33"/>
        <v>56.985942284384237</v>
      </c>
      <c r="AJ26">
        <v>1.5868813630682395</v>
      </c>
      <c r="AO26" s="1"/>
      <c r="AV26">
        <f t="shared" si="34"/>
        <v>39.794702494191434</v>
      </c>
      <c r="AW26">
        <v>1.487559562975868</v>
      </c>
      <c r="BB26" s="1"/>
      <c r="BI26">
        <f t="shared" si="35"/>
        <v>23.717817089514206</v>
      </c>
      <c r="BJ26">
        <v>1.142592090240707</v>
      </c>
      <c r="BO26" s="1"/>
      <c r="BV26">
        <f t="shared" si="36"/>
        <v>27.915244250944028</v>
      </c>
      <c r="BW26">
        <v>0.73772301098090209</v>
      </c>
      <c r="CB26" s="1"/>
      <c r="CI26">
        <f t="shared" si="37"/>
        <v>53.714698659281041</v>
      </c>
      <c r="CJ26">
        <v>0.39109532621017407</v>
      </c>
    </row>
    <row r="27" spans="2:88" x14ac:dyDescent="0.3">
      <c r="B27" s="1">
        <v>0.9</v>
      </c>
      <c r="D27" s="15" t="s">
        <v>59</v>
      </c>
      <c r="E27" s="15"/>
      <c r="H27">
        <f t="shared" si="30"/>
        <v>17.66482320129467</v>
      </c>
      <c r="I27">
        <f t="shared" si="31"/>
        <v>9.4730197646674164</v>
      </c>
      <c r="J27">
        <v>0.85245625760402444</v>
      </c>
      <c r="O27" s="1"/>
      <c r="Q27" s="15" t="s">
        <v>59</v>
      </c>
      <c r="R27" s="15"/>
      <c r="V27">
        <f t="shared" si="32"/>
        <v>13.432954657389825</v>
      </c>
      <c r="W27">
        <v>0.8836688558103637</v>
      </c>
      <c r="AB27" s="1"/>
      <c r="AD27" s="15" t="s">
        <v>59</v>
      </c>
      <c r="AE27" s="15"/>
      <c r="AI27">
        <f t="shared" si="33"/>
        <v>37.449981631875069</v>
      </c>
      <c r="AJ27">
        <v>1.5904575186701237</v>
      </c>
      <c r="AO27" s="1"/>
      <c r="AQ27" s="15" t="s">
        <v>59</v>
      </c>
      <c r="AR27" s="15"/>
      <c r="AV27">
        <f t="shared" si="34"/>
        <v>22.824641019007398</v>
      </c>
      <c r="AW27">
        <v>1.491017243637172</v>
      </c>
      <c r="BB27" s="1"/>
      <c r="BD27" s="15" t="s">
        <v>59</v>
      </c>
      <c r="BE27" s="15"/>
      <c r="BI27">
        <f t="shared" si="35"/>
        <v>11.79256689569994</v>
      </c>
      <c r="BJ27">
        <v>1.1469458880719752</v>
      </c>
      <c r="BO27" s="1"/>
      <c r="BQ27" s="15" t="s">
        <v>59</v>
      </c>
      <c r="BR27" s="15"/>
      <c r="BV27">
        <f t="shared" si="36"/>
        <v>16.680139263612428</v>
      </c>
      <c r="BW27">
        <v>0.74299479119888034</v>
      </c>
      <c r="CB27" s="1"/>
      <c r="CD27" s="15" t="s">
        <v>59</v>
      </c>
      <c r="CE27" s="15"/>
      <c r="CI27">
        <f t="shared" si="37"/>
        <v>29.411269723464343</v>
      </c>
      <c r="CJ27">
        <v>0.39344984314576831</v>
      </c>
    </row>
    <row r="28" spans="2:88" x14ac:dyDescent="0.3">
      <c r="B28" s="1">
        <v>0.81</v>
      </c>
      <c r="D28" s="16">
        <f>MIN(B4:B103)</f>
        <v>0.75</v>
      </c>
      <c r="E28" s="16"/>
      <c r="H28">
        <f t="shared" si="30"/>
        <v>19.967320457104705</v>
      </c>
      <c r="I28">
        <f t="shared" si="31"/>
        <v>10.707767588850698</v>
      </c>
      <c r="J28">
        <v>0.87108466807748341</v>
      </c>
      <c r="O28" s="1"/>
      <c r="Q28" s="16">
        <f>MIN(O4:O103)</f>
        <v>0.8640000000000001</v>
      </c>
      <c r="R28" s="16"/>
      <c r="V28">
        <f t="shared" si="32"/>
        <v>5.0988130782924834</v>
      </c>
      <c r="W28">
        <v>0.88724501141224799</v>
      </c>
      <c r="AB28" s="1"/>
      <c r="AD28" s="16">
        <f>MIN(AB4:AB103)</f>
        <v>1.5710000000000002</v>
      </c>
      <c r="AE28" s="16"/>
      <c r="AI28">
        <f t="shared" si="33"/>
        <v>17.844573354832676</v>
      </c>
      <c r="AJ28">
        <v>1.594033674272008</v>
      </c>
      <c r="AO28" s="1"/>
      <c r="AQ28" s="16">
        <f>MIN(AO4:AO103)</f>
        <v>1.472</v>
      </c>
      <c r="AR28" s="16"/>
      <c r="AV28">
        <f t="shared" si="34"/>
        <v>10.19551173401921</v>
      </c>
      <c r="AW28">
        <v>1.4944749242984761</v>
      </c>
      <c r="BB28" s="1"/>
      <c r="BD28" s="16">
        <f>MIN(BB4:BB103)</f>
        <v>1.123</v>
      </c>
      <c r="BE28" s="16"/>
      <c r="BI28">
        <f t="shared" si="35"/>
        <v>4.5663412210261018</v>
      </c>
      <c r="BJ28">
        <v>1.1512996859032434</v>
      </c>
      <c r="BO28" s="1"/>
      <c r="BQ28" s="16">
        <f>MIN(BO4:BO103)</f>
        <v>0.71399999999999997</v>
      </c>
      <c r="BR28" s="16"/>
      <c r="BV28">
        <f t="shared" si="36"/>
        <v>7.7621904087414677</v>
      </c>
      <c r="BW28">
        <v>0.74826657141685859</v>
      </c>
      <c r="CB28" s="1"/>
      <c r="CD28" s="16">
        <f>MIN(CB4:CB103)</f>
        <v>0.3805</v>
      </c>
      <c r="CE28" s="16"/>
      <c r="CI28">
        <f t="shared" si="37"/>
        <v>12.541826362387642</v>
      </c>
      <c r="CJ28">
        <v>0.39580436008136255</v>
      </c>
    </row>
    <row r="29" spans="2:88" x14ac:dyDescent="0.3">
      <c r="B29" s="1">
        <v>0.92</v>
      </c>
      <c r="H29">
        <f t="shared" si="30"/>
        <v>17.577481940729307</v>
      </c>
      <c r="I29">
        <f t="shared" si="31"/>
        <v>9.4261817364472407</v>
      </c>
      <c r="J29">
        <v>0.88971307855094239</v>
      </c>
      <c r="O29" s="1"/>
      <c r="V29">
        <f t="shared" si="32"/>
        <v>1.5072767943161813</v>
      </c>
      <c r="W29">
        <v>0.89082116701413228</v>
      </c>
      <c r="AB29" s="1"/>
      <c r="AI29">
        <f t="shared" si="33"/>
        <v>6.164976329783336</v>
      </c>
      <c r="AJ29">
        <v>1.5976098298738923</v>
      </c>
      <c r="AO29" s="1"/>
      <c r="AV29">
        <f t="shared" si="34"/>
        <v>3.5468308835471158</v>
      </c>
      <c r="AW29">
        <v>1.4979326049597801</v>
      </c>
      <c r="BB29" s="1"/>
      <c r="BI29">
        <f t="shared" si="35"/>
        <v>1.3770659924832558</v>
      </c>
      <c r="BJ29">
        <v>1.1556534837345116</v>
      </c>
      <c r="BO29" s="1"/>
      <c r="BV29">
        <f t="shared" si="36"/>
        <v>2.8131655542082106</v>
      </c>
      <c r="BW29">
        <v>0.75353835163483684</v>
      </c>
      <c r="CB29" s="1"/>
      <c r="CI29">
        <f t="shared" si="37"/>
        <v>4.1651838247739139</v>
      </c>
      <c r="CJ29">
        <v>0.39815887701695679</v>
      </c>
    </row>
    <row r="30" spans="2:88" x14ac:dyDescent="0.3">
      <c r="B30" s="1">
        <v>0.91</v>
      </c>
      <c r="D30" s="15" t="s">
        <v>60</v>
      </c>
      <c r="E30" s="15"/>
      <c r="G30">
        <f>SUM(I22:I34)</f>
        <v>53.626462358101215</v>
      </c>
      <c r="H30">
        <f t="shared" si="30"/>
        <v>12.050911923258775</v>
      </c>
      <c r="I30">
        <f t="shared" si="31"/>
        <v>6.4624777463342982</v>
      </c>
      <c r="J30">
        <v>0.90834148902440137</v>
      </c>
      <c r="O30" s="1"/>
      <c r="Q30" s="15" t="s">
        <v>60</v>
      </c>
      <c r="R30" s="15"/>
      <c r="V30">
        <f t="shared" si="32"/>
        <v>0.34701105785414721</v>
      </c>
      <c r="W30">
        <v>0.89439732261601657</v>
      </c>
      <c r="AB30" s="1"/>
      <c r="AD30" s="15" t="s">
        <v>60</v>
      </c>
      <c r="AE30" s="15"/>
      <c r="AI30">
        <f t="shared" si="33"/>
        <v>1.5442846079013914</v>
      </c>
      <c r="AJ30">
        <v>1.6011859854757766</v>
      </c>
      <c r="AO30" s="1"/>
      <c r="AQ30" s="15" t="s">
        <v>60</v>
      </c>
      <c r="AR30" s="15"/>
      <c r="AV30">
        <f t="shared" si="34"/>
        <v>0.96094451777563927</v>
      </c>
      <c r="AW30">
        <v>1.5013902856210841</v>
      </c>
      <c r="BB30" s="1"/>
      <c r="BD30" s="15" t="s">
        <v>60</v>
      </c>
      <c r="BE30" s="15"/>
      <c r="BI30">
        <f t="shared" si="35"/>
        <v>0.32342048562190245</v>
      </c>
      <c r="BJ30">
        <v>1.1600072815657798</v>
      </c>
      <c r="BO30" s="1"/>
      <c r="BQ30" s="15" t="s">
        <v>60</v>
      </c>
      <c r="BR30" s="15"/>
      <c r="BV30">
        <f t="shared" si="36"/>
        <v>0.79402224522667497</v>
      </c>
      <c r="BW30">
        <v>0.7588101318528151</v>
      </c>
      <c r="CB30" s="1"/>
      <c r="CD30" s="15" t="s">
        <v>60</v>
      </c>
      <c r="CE30" s="15"/>
      <c r="CI30">
        <f t="shared" si="37"/>
        <v>1.0772932583188108</v>
      </c>
      <c r="CJ30">
        <v>0.40051339395255103</v>
      </c>
    </row>
    <row r="31" spans="2:88" x14ac:dyDescent="0.3">
      <c r="B31" s="1">
        <v>0.84</v>
      </c>
      <c r="D31" s="16">
        <f>MAX(B4:B103)</f>
        <v>0.96</v>
      </c>
      <c r="E31" s="16"/>
      <c r="H31">
        <f t="shared" si="30"/>
        <v>6.4344220469552953</v>
      </c>
      <c r="I31">
        <f t="shared" si="31"/>
        <v>3.450552916971847</v>
      </c>
      <c r="J31">
        <v>0.92696989949786035</v>
      </c>
      <c r="O31" s="1"/>
      <c r="Q31" s="16">
        <f>MAX(O4:O103)</f>
        <v>0.8869999999999999</v>
      </c>
      <c r="R31" s="16"/>
      <c r="V31">
        <f t="shared" si="32"/>
        <v>6.2218565675759514E-2</v>
      </c>
      <c r="W31">
        <v>0.89797347821790086</v>
      </c>
      <c r="AB31" s="1"/>
      <c r="AD31" s="16">
        <f>MAX(AB4:AB103)</f>
        <v>1.5939999999999999</v>
      </c>
      <c r="AE31" s="16"/>
      <c r="AI31">
        <f t="shared" si="33"/>
        <v>0.2804748709313365</v>
      </c>
      <c r="AJ31">
        <v>1.6047621410776609</v>
      </c>
      <c r="AO31" s="1"/>
      <c r="AQ31" s="16">
        <f>MAX(AO4:AO103)</f>
        <v>1.4910000000000001</v>
      </c>
      <c r="AR31" s="16"/>
      <c r="AV31">
        <f t="shared" si="34"/>
        <v>0.20276011322261264</v>
      </c>
      <c r="AW31">
        <v>1.5048479662823881</v>
      </c>
      <c r="BB31" s="1"/>
      <c r="BD31" s="16">
        <f>MAX(BB4:BB103)</f>
        <v>1.149</v>
      </c>
      <c r="BE31" s="16"/>
      <c r="BI31">
        <f t="shared" si="35"/>
        <v>5.9157072781897128E-2</v>
      </c>
      <c r="BJ31">
        <v>1.164361079397048</v>
      </c>
      <c r="BO31" s="1"/>
      <c r="BQ31" s="16">
        <f>MAX(BO4:BO103)</f>
        <v>0.747</v>
      </c>
      <c r="BR31" s="16"/>
      <c r="BV31">
        <f t="shared" si="36"/>
        <v>0.17454058528194932</v>
      </c>
      <c r="BW31">
        <v>0.76408191207079335</v>
      </c>
      <c r="CB31" s="1"/>
      <c r="CD31" s="16">
        <f>MAX(CB4:CB103)</f>
        <v>0.39200000000000002</v>
      </c>
      <c r="CE31" s="16"/>
      <c r="CI31">
        <f t="shared" si="37"/>
        <v>0.21700017818076633</v>
      </c>
      <c r="CJ31">
        <v>0.40286791088814528</v>
      </c>
    </row>
    <row r="32" spans="2:88" x14ac:dyDescent="0.3">
      <c r="B32" s="1">
        <v>0.86</v>
      </c>
      <c r="H32">
        <f t="shared" si="30"/>
        <v>2.6756269071171599</v>
      </c>
      <c r="I32">
        <f t="shared" si="31"/>
        <v>1.4348440561884115</v>
      </c>
      <c r="J32">
        <v>0.94559830997131933</v>
      </c>
      <c r="AI32">
        <f t="shared" si="33"/>
        <v>3.6934417631796793E-2</v>
      </c>
      <c r="AJ32">
        <v>1.6083382966795452</v>
      </c>
      <c r="AV32">
        <f t="shared" si="34"/>
        <v>3.3319088819218412E-2</v>
      </c>
      <c r="AW32">
        <v>1.5083056469436922</v>
      </c>
      <c r="BI32">
        <f t="shared" si="35"/>
        <v>8.4269847253106104E-3</v>
      </c>
      <c r="BJ32">
        <v>1.1687148772283162</v>
      </c>
      <c r="CI32">
        <f t="shared" si="37"/>
        <v>3.4041808036858724E-2</v>
      </c>
      <c r="CJ32">
        <v>0.40522242782373952</v>
      </c>
    </row>
    <row r="33" spans="2:88" x14ac:dyDescent="0.3">
      <c r="B33" s="1">
        <v>0.92</v>
      </c>
      <c r="D33" s="15" t="s">
        <v>61</v>
      </c>
      <c r="E33" s="15"/>
      <c r="H33">
        <f t="shared" si="30"/>
        <v>0.86649875933528975</v>
      </c>
      <c r="I33">
        <f t="shared" si="31"/>
        <v>0.46467263100835315</v>
      </c>
      <c r="J33">
        <v>0.96422672044477831</v>
      </c>
      <c r="Q33" s="15" t="s">
        <v>61</v>
      </c>
      <c r="R33" s="15"/>
      <c r="AD33" s="15" t="s">
        <v>61</v>
      </c>
      <c r="AE33" s="15"/>
      <c r="AQ33" s="15" t="s">
        <v>61</v>
      </c>
      <c r="AR33" s="15"/>
      <c r="AV33">
        <f t="shared" si="34"/>
        <v>4.2641265669961046E-3</v>
      </c>
      <c r="AW33">
        <v>1.5117633276049962</v>
      </c>
      <c r="BD33" s="15" t="s">
        <v>61</v>
      </c>
      <c r="BE33" s="15"/>
      <c r="BI33">
        <f t="shared" si="35"/>
        <v>9.3489775507321637E-4</v>
      </c>
      <c r="BJ33">
        <v>1.1730686750595845</v>
      </c>
      <c r="BQ33" s="15" t="s">
        <v>61</v>
      </c>
      <c r="BR33" s="15"/>
      <c r="CD33" s="15" t="s">
        <v>61</v>
      </c>
      <c r="CE33" s="15"/>
      <c r="CI33">
        <f t="shared" si="37"/>
        <v>4.1590249512114593E-3</v>
      </c>
      <c r="CJ33">
        <v>0.40757694475933376</v>
      </c>
    </row>
    <row r="34" spans="2:88" x14ac:dyDescent="0.3">
      <c r="B34" s="1">
        <v>0.9</v>
      </c>
      <c r="D34" s="16">
        <f>(D31-D28)/2</f>
        <v>0.10499999999999998</v>
      </c>
      <c r="E34" s="16"/>
      <c r="H34">
        <f t="shared" si="30"/>
        <v>0.21854290679149443</v>
      </c>
      <c r="I34">
        <f t="shared" si="31"/>
        <v>0.11719682964684099</v>
      </c>
      <c r="J34">
        <v>0.98285513091823729</v>
      </c>
      <c r="Q34" s="16">
        <f>(Q31-Q28)/2</f>
        <v>1.1499999999999899E-2</v>
      </c>
      <c r="R34" s="16"/>
      <c r="AD34" s="16">
        <f>(AD31-AD28)/2</f>
        <v>1.1499999999999844E-2</v>
      </c>
      <c r="AE34" s="16"/>
      <c r="AQ34" s="16">
        <f>(AQ31-AQ28)/2</f>
        <v>9.5000000000000639E-3</v>
      </c>
      <c r="AR34" s="16"/>
      <c r="AV34">
        <f t="shared" si="34"/>
        <v>4.2500441055550836E-4</v>
      </c>
      <c r="AW34">
        <v>1.5152210082663002</v>
      </c>
      <c r="BD34" s="16">
        <f>(BD31-BD28)/2</f>
        <v>1.3000000000000012E-2</v>
      </c>
      <c r="BE34" s="16"/>
      <c r="BQ34" s="16">
        <f>(BQ31-BQ28)/2</f>
        <v>1.6500000000000015E-2</v>
      </c>
      <c r="BR34" s="16"/>
      <c r="CD34" s="16">
        <f>(CD31-CD28)/2</f>
        <v>5.7500000000000051E-3</v>
      </c>
      <c r="CE34" s="16"/>
    </row>
    <row r="35" spans="2:88" x14ac:dyDescent="0.3">
      <c r="B35" s="1">
        <v>0.85</v>
      </c>
    </row>
    <row r="36" spans="2:88" x14ac:dyDescent="0.3">
      <c r="B36" s="1">
        <v>0.82</v>
      </c>
      <c r="D36" s="15" t="s">
        <v>62</v>
      </c>
      <c r="E36" s="15"/>
      <c r="Q36" s="15" t="s">
        <v>62</v>
      </c>
      <c r="R36" s="15"/>
      <c r="AD36" s="15" t="s">
        <v>62</v>
      </c>
      <c r="AE36" s="15"/>
      <c r="AQ36" s="15" t="s">
        <v>62</v>
      </c>
      <c r="AR36" s="15"/>
      <c r="BD36" s="15" t="s">
        <v>62</v>
      </c>
      <c r="BE36" s="15"/>
      <c r="BQ36" s="15" t="s">
        <v>62</v>
      </c>
      <c r="BR36" s="15"/>
      <c r="CD36" s="15" t="s">
        <v>62</v>
      </c>
      <c r="CE36" s="15"/>
    </row>
    <row r="37" spans="2:88" x14ac:dyDescent="0.3">
      <c r="B37" s="1">
        <v>0.87</v>
      </c>
      <c r="D37" s="16">
        <f>D34/D7</f>
        <v>0.12056493282810886</v>
      </c>
      <c r="E37" s="16"/>
      <c r="Q37" s="16">
        <f>Q34/Q7</f>
        <v>1.3194125745754818E-2</v>
      </c>
      <c r="R37" s="16"/>
      <c r="AD37" s="16">
        <f>AD34/AD7</f>
        <v>7.2601010101009111E-3</v>
      </c>
      <c r="AE37" s="16"/>
      <c r="AQ37" s="16">
        <f>AQ34/AQ7</f>
        <v>6.41198704103676E-3</v>
      </c>
      <c r="AR37" s="16"/>
      <c r="BD37" s="16">
        <f>BD34/BD7</f>
        <v>1.1478015186297029E-2</v>
      </c>
      <c r="BE37" s="16"/>
      <c r="BQ37" s="16">
        <f>BQ34/BQ7</f>
        <v>2.261823166552435E-2</v>
      </c>
      <c r="BR37" s="16"/>
      <c r="CD37" s="16">
        <f>CD34/CD7</f>
        <v>1.4873254009311965E-2</v>
      </c>
      <c r="CE37" s="16"/>
    </row>
    <row r="38" spans="2:88" x14ac:dyDescent="0.3">
      <c r="B38" s="1">
        <v>0.82</v>
      </c>
    </row>
    <row r="39" spans="2:88" x14ac:dyDescent="0.3">
      <c r="B39" s="1">
        <v>0.9</v>
      </c>
    </row>
    <row r="40" spans="2:88" x14ac:dyDescent="0.3">
      <c r="B40" s="1">
        <v>0.84</v>
      </c>
    </row>
    <row r="41" spans="2:88" x14ac:dyDescent="0.3">
      <c r="B41" s="1">
        <v>0.9</v>
      </c>
    </row>
    <row r="42" spans="2:88" x14ac:dyDescent="0.3">
      <c r="B42" s="1">
        <v>0.91</v>
      </c>
    </row>
    <row r="43" spans="2:88" x14ac:dyDescent="0.3">
      <c r="B43" s="1">
        <v>0.9</v>
      </c>
    </row>
    <row r="44" spans="2:88" x14ac:dyDescent="0.3">
      <c r="B44" s="1">
        <v>0.88</v>
      </c>
    </row>
    <row r="45" spans="2:88" x14ac:dyDescent="0.3">
      <c r="B45" s="1">
        <v>0.84</v>
      </c>
    </row>
    <row r="46" spans="2:88" x14ac:dyDescent="0.3">
      <c r="B46" s="1">
        <v>0.91</v>
      </c>
    </row>
    <row r="47" spans="2:88" x14ac:dyDescent="0.3">
      <c r="B47" s="1">
        <v>0.91</v>
      </c>
    </row>
    <row r="48" spans="2:88" x14ac:dyDescent="0.3">
      <c r="B48" s="1">
        <v>0.84</v>
      </c>
    </row>
    <row r="49" spans="2:2" x14ac:dyDescent="0.3">
      <c r="B49" s="1">
        <v>0.83</v>
      </c>
    </row>
    <row r="50" spans="2:2" x14ac:dyDescent="0.3">
      <c r="B50" s="1">
        <v>0.89</v>
      </c>
    </row>
    <row r="51" spans="2:2" x14ac:dyDescent="0.3">
      <c r="B51" s="1">
        <v>0.86</v>
      </c>
    </row>
    <row r="52" spans="2:2" x14ac:dyDescent="0.3">
      <c r="B52" s="1">
        <v>0.84</v>
      </c>
    </row>
    <row r="53" spans="2:2" x14ac:dyDescent="0.3">
      <c r="B53" s="1">
        <v>0.89</v>
      </c>
    </row>
    <row r="54" spans="2:2" x14ac:dyDescent="0.3">
      <c r="B54" s="1">
        <v>0.89</v>
      </c>
    </row>
    <row r="55" spans="2:2" x14ac:dyDescent="0.3">
      <c r="B55" s="1">
        <v>0.75</v>
      </c>
    </row>
    <row r="56" spans="2:2" x14ac:dyDescent="0.3">
      <c r="B56" s="1">
        <v>0.85</v>
      </c>
    </row>
    <row r="57" spans="2:2" x14ac:dyDescent="0.3">
      <c r="B57" s="1">
        <v>0.84</v>
      </c>
    </row>
    <row r="58" spans="2:2" x14ac:dyDescent="0.3">
      <c r="B58" s="1">
        <v>0.81</v>
      </c>
    </row>
    <row r="59" spans="2:2" x14ac:dyDescent="0.3">
      <c r="B59" s="1">
        <v>0.9</v>
      </c>
    </row>
    <row r="60" spans="2:2" x14ac:dyDescent="0.3">
      <c r="B60" s="1">
        <v>0.86</v>
      </c>
    </row>
    <row r="61" spans="2:2" x14ac:dyDescent="0.3">
      <c r="B61" s="1">
        <v>0.86</v>
      </c>
    </row>
    <row r="62" spans="2:2" x14ac:dyDescent="0.3">
      <c r="B62" s="1">
        <v>0.85</v>
      </c>
    </row>
    <row r="63" spans="2:2" x14ac:dyDescent="0.3">
      <c r="B63" s="1">
        <v>0.81</v>
      </c>
    </row>
    <row r="64" spans="2:2" x14ac:dyDescent="0.3">
      <c r="B64" s="1">
        <v>0.89</v>
      </c>
    </row>
    <row r="65" spans="2:2" x14ac:dyDescent="0.3">
      <c r="B65" s="1">
        <v>0.9</v>
      </c>
    </row>
    <row r="66" spans="2:2" x14ac:dyDescent="0.3">
      <c r="B66" s="1">
        <v>0.88</v>
      </c>
    </row>
    <row r="67" spans="2:2" x14ac:dyDescent="0.3">
      <c r="B67" s="1">
        <v>0.88</v>
      </c>
    </row>
    <row r="68" spans="2:2" x14ac:dyDescent="0.3">
      <c r="B68" s="1">
        <v>0.83</v>
      </c>
    </row>
    <row r="69" spans="2:2" x14ac:dyDescent="0.3">
      <c r="B69" s="1">
        <v>0.89</v>
      </c>
    </row>
    <row r="70" spans="2:2" x14ac:dyDescent="0.3">
      <c r="B70" s="1">
        <v>0.89</v>
      </c>
    </row>
    <row r="71" spans="2:2" x14ac:dyDescent="0.3">
      <c r="B71" s="1">
        <v>0.87</v>
      </c>
    </row>
    <row r="72" spans="2:2" x14ac:dyDescent="0.3">
      <c r="B72" s="1">
        <v>0.87</v>
      </c>
    </row>
    <row r="73" spans="2:2" x14ac:dyDescent="0.3">
      <c r="B73" s="1">
        <v>0.89</v>
      </c>
    </row>
    <row r="74" spans="2:2" x14ac:dyDescent="0.3">
      <c r="B74" s="1">
        <v>0.89</v>
      </c>
    </row>
    <row r="75" spans="2:2" x14ac:dyDescent="0.3">
      <c r="B75" s="1">
        <v>0.89</v>
      </c>
    </row>
    <row r="76" spans="2:2" x14ac:dyDescent="0.3">
      <c r="B76" s="1">
        <v>0.89</v>
      </c>
    </row>
    <row r="77" spans="2:2" x14ac:dyDescent="0.3">
      <c r="B77" s="1">
        <v>0.83</v>
      </c>
    </row>
    <row r="78" spans="2:2" x14ac:dyDescent="0.3">
      <c r="B78" s="1">
        <v>0.85</v>
      </c>
    </row>
    <row r="79" spans="2:2" x14ac:dyDescent="0.3">
      <c r="B79" s="1">
        <v>0.84</v>
      </c>
    </row>
    <row r="80" spans="2:2" x14ac:dyDescent="0.3">
      <c r="B80" s="1">
        <v>0.86</v>
      </c>
    </row>
    <row r="81" spans="2:2" x14ac:dyDescent="0.3">
      <c r="B81" s="1">
        <v>0.88</v>
      </c>
    </row>
    <row r="82" spans="2:2" x14ac:dyDescent="0.3">
      <c r="B82" s="1">
        <v>0.89</v>
      </c>
    </row>
    <row r="83" spans="2:2" x14ac:dyDescent="0.3">
      <c r="B83" s="1">
        <v>0.83</v>
      </c>
    </row>
    <row r="84" spans="2:2" x14ac:dyDescent="0.3">
      <c r="B84" s="1">
        <v>0.86</v>
      </c>
    </row>
    <row r="85" spans="2:2" x14ac:dyDescent="0.3">
      <c r="B85" s="1">
        <v>0.96</v>
      </c>
    </row>
    <row r="86" spans="2:2" x14ac:dyDescent="0.3">
      <c r="B86" s="1">
        <v>0.87</v>
      </c>
    </row>
    <row r="87" spans="2:2" x14ac:dyDescent="0.3">
      <c r="B87" s="1">
        <v>0.88</v>
      </c>
    </row>
    <row r="88" spans="2:2" x14ac:dyDescent="0.3">
      <c r="B88" s="1">
        <v>0.84</v>
      </c>
    </row>
    <row r="89" spans="2:2" x14ac:dyDescent="0.3">
      <c r="B89" s="1">
        <v>0.91</v>
      </c>
    </row>
    <row r="90" spans="2:2" x14ac:dyDescent="0.3">
      <c r="B90" s="1">
        <v>0.88</v>
      </c>
    </row>
    <row r="91" spans="2:2" x14ac:dyDescent="0.3">
      <c r="B91" s="1">
        <v>0.84</v>
      </c>
    </row>
    <row r="92" spans="2:2" x14ac:dyDescent="0.3">
      <c r="B92" s="1">
        <v>0.88</v>
      </c>
    </row>
    <row r="93" spans="2:2" x14ac:dyDescent="0.3">
      <c r="B93" s="1">
        <v>0.86</v>
      </c>
    </row>
    <row r="94" spans="2:2" x14ac:dyDescent="0.3">
      <c r="B94" s="1">
        <v>0.89</v>
      </c>
    </row>
    <row r="95" spans="2:2" x14ac:dyDescent="0.3">
      <c r="B95" s="1">
        <v>0.86</v>
      </c>
    </row>
    <row r="96" spans="2:2" x14ac:dyDescent="0.3">
      <c r="B96" s="1">
        <v>0.9</v>
      </c>
    </row>
    <row r="97" spans="2:2" x14ac:dyDescent="0.3">
      <c r="B97" s="1">
        <v>0.86</v>
      </c>
    </row>
    <row r="98" spans="2:2" x14ac:dyDescent="0.3">
      <c r="B98" s="1">
        <v>0.9</v>
      </c>
    </row>
    <row r="99" spans="2:2" x14ac:dyDescent="0.3">
      <c r="B99" s="1">
        <v>0.88</v>
      </c>
    </row>
    <row r="100" spans="2:2" x14ac:dyDescent="0.3">
      <c r="B100" s="1">
        <v>0.82</v>
      </c>
    </row>
    <row r="101" spans="2:2" x14ac:dyDescent="0.3">
      <c r="B101" s="1">
        <v>0.85</v>
      </c>
    </row>
    <row r="102" spans="2:2" x14ac:dyDescent="0.3">
      <c r="B102" s="1">
        <v>0.89</v>
      </c>
    </row>
    <row r="103" spans="2:2" x14ac:dyDescent="0.3">
      <c r="B103" s="1">
        <v>0.96</v>
      </c>
    </row>
  </sheetData>
  <mergeCells count="183">
    <mergeCell ref="CD9:CE9"/>
    <mergeCell ref="BQ19:BR19"/>
    <mergeCell ref="CM1:CW1"/>
    <mergeCell ref="CD31:CE31"/>
    <mergeCell ref="CD22:CE22"/>
    <mergeCell ref="CD24:CE24"/>
    <mergeCell ref="CD25:CE25"/>
    <mergeCell ref="CD27:CE27"/>
    <mergeCell ref="CD28:CE28"/>
    <mergeCell ref="CD30:CE30"/>
    <mergeCell ref="CD13:CE13"/>
    <mergeCell ref="CD15:CE15"/>
    <mergeCell ref="CD16:CE16"/>
    <mergeCell ref="CD18:CE18"/>
    <mergeCell ref="CD19:CE19"/>
    <mergeCell ref="CD21:CE21"/>
    <mergeCell ref="CP3:CQ3"/>
    <mergeCell ref="CR3:CS3"/>
    <mergeCell ref="CT3:CU3"/>
    <mergeCell ref="CV3:CW3"/>
    <mergeCell ref="BZ1:CJ1"/>
    <mergeCell ref="CD3:CE3"/>
    <mergeCell ref="CD4:CE4"/>
    <mergeCell ref="CD6:CE6"/>
    <mergeCell ref="CD7:CE7"/>
    <mergeCell ref="CD10:CE10"/>
    <mergeCell ref="CD12:CE12"/>
    <mergeCell ref="BQ21:BR21"/>
    <mergeCell ref="BD31:BE31"/>
    <mergeCell ref="BM1:BW1"/>
    <mergeCell ref="BQ3:BR3"/>
    <mergeCell ref="BQ4:BR4"/>
    <mergeCell ref="BQ6:BR6"/>
    <mergeCell ref="BQ7:BR7"/>
    <mergeCell ref="BQ9:BR9"/>
    <mergeCell ref="BQ10:BR10"/>
    <mergeCell ref="BD19:BE19"/>
    <mergeCell ref="BD21:BE21"/>
    <mergeCell ref="BD22:BE22"/>
    <mergeCell ref="BD24:BE24"/>
    <mergeCell ref="BD25:BE25"/>
    <mergeCell ref="BD27:BE27"/>
    <mergeCell ref="BD10:BE10"/>
    <mergeCell ref="BD12:BE12"/>
    <mergeCell ref="BD13:BE13"/>
    <mergeCell ref="BD15:BE15"/>
    <mergeCell ref="BD16:BE16"/>
    <mergeCell ref="BD18:BE18"/>
    <mergeCell ref="BQ30:BR30"/>
    <mergeCell ref="BQ31:BR31"/>
    <mergeCell ref="BD4:BE4"/>
    <mergeCell ref="BD6:BE6"/>
    <mergeCell ref="BD7:BE7"/>
    <mergeCell ref="BD9:BE9"/>
    <mergeCell ref="AQ24:AR24"/>
    <mergeCell ref="AQ25:AR25"/>
    <mergeCell ref="AQ27:AR27"/>
    <mergeCell ref="AQ28:AR28"/>
    <mergeCell ref="AQ30:AR30"/>
    <mergeCell ref="BD28:BE28"/>
    <mergeCell ref="BD30:BE30"/>
    <mergeCell ref="BQ22:BR22"/>
    <mergeCell ref="BQ24:BR24"/>
    <mergeCell ref="BQ25:BR25"/>
    <mergeCell ref="BQ27:BR27"/>
    <mergeCell ref="BQ28:BR28"/>
    <mergeCell ref="BQ12:BR12"/>
    <mergeCell ref="BQ13:BR13"/>
    <mergeCell ref="BQ15:BR15"/>
    <mergeCell ref="BQ16:BR16"/>
    <mergeCell ref="BQ18:BR18"/>
    <mergeCell ref="AM1:AW1"/>
    <mergeCell ref="AQ3:AR3"/>
    <mergeCell ref="AQ4:AR4"/>
    <mergeCell ref="AQ6:AR6"/>
    <mergeCell ref="AQ7:AR7"/>
    <mergeCell ref="AQ9:AR9"/>
    <mergeCell ref="AQ10:AR10"/>
    <mergeCell ref="AQ12:AR12"/>
    <mergeCell ref="AQ13:AR13"/>
    <mergeCell ref="AZ1:BJ1"/>
    <mergeCell ref="BD3:BE3"/>
    <mergeCell ref="Q27:R27"/>
    <mergeCell ref="Q28:R28"/>
    <mergeCell ref="Q12:R12"/>
    <mergeCell ref="Q13:R13"/>
    <mergeCell ref="Q15:R15"/>
    <mergeCell ref="AQ31:AR31"/>
    <mergeCell ref="AQ15:AR15"/>
    <mergeCell ref="AQ16:AR16"/>
    <mergeCell ref="AQ18:AR18"/>
    <mergeCell ref="AQ19:AR19"/>
    <mergeCell ref="AQ21:AR21"/>
    <mergeCell ref="AQ22:AR22"/>
    <mergeCell ref="AD31:AE31"/>
    <mergeCell ref="AD22:AE22"/>
    <mergeCell ref="AD24:AE24"/>
    <mergeCell ref="AD25:AE25"/>
    <mergeCell ref="AD27:AE27"/>
    <mergeCell ref="AD28:AE28"/>
    <mergeCell ref="AD30:AE30"/>
    <mergeCell ref="AD13:AE13"/>
    <mergeCell ref="AD6:AE6"/>
    <mergeCell ref="AD7:AE7"/>
    <mergeCell ref="AD9:AE9"/>
    <mergeCell ref="AD10:AE10"/>
    <mergeCell ref="AD12:AE12"/>
    <mergeCell ref="Q21:R21"/>
    <mergeCell ref="Q22:R22"/>
    <mergeCell ref="Q24:R24"/>
    <mergeCell ref="Q25:R25"/>
    <mergeCell ref="CN3:CO3"/>
    <mergeCell ref="Q16:R16"/>
    <mergeCell ref="Q18:R18"/>
    <mergeCell ref="Q19:R19"/>
    <mergeCell ref="D30:E30"/>
    <mergeCell ref="D28:E28"/>
    <mergeCell ref="D31:E31"/>
    <mergeCell ref="M1:W1"/>
    <mergeCell ref="Q3:R3"/>
    <mergeCell ref="Q4:R4"/>
    <mergeCell ref="Q6:R6"/>
    <mergeCell ref="Q7:R7"/>
    <mergeCell ref="Q9:R9"/>
    <mergeCell ref="Q10:R10"/>
    <mergeCell ref="D19:E19"/>
    <mergeCell ref="D21:E21"/>
    <mergeCell ref="D22:E22"/>
    <mergeCell ref="D24:E24"/>
    <mergeCell ref="D25:E25"/>
    <mergeCell ref="D27:E27"/>
    <mergeCell ref="D10:E10"/>
    <mergeCell ref="D12:E12"/>
    <mergeCell ref="D13:E13"/>
    <mergeCell ref="D15:E15"/>
    <mergeCell ref="BD33:BE33"/>
    <mergeCell ref="BD34:BE34"/>
    <mergeCell ref="BD36:BE36"/>
    <mergeCell ref="BD37:BE37"/>
    <mergeCell ref="BQ33:BR33"/>
    <mergeCell ref="BQ34:BR34"/>
    <mergeCell ref="D18:E18"/>
    <mergeCell ref="A1:J1"/>
    <mergeCell ref="D3:E3"/>
    <mergeCell ref="D6:E6"/>
    <mergeCell ref="D9:E9"/>
    <mergeCell ref="D4:E4"/>
    <mergeCell ref="D7:E7"/>
    <mergeCell ref="D16:E16"/>
    <mergeCell ref="AD15:AE15"/>
    <mergeCell ref="AD16:AE16"/>
    <mergeCell ref="AD18:AE18"/>
    <mergeCell ref="AD19:AE19"/>
    <mergeCell ref="AD21:AE21"/>
    <mergeCell ref="Q30:R30"/>
    <mergeCell ref="Q31:R31"/>
    <mergeCell ref="Z1:AJ1"/>
    <mergeCell ref="AD3:AE3"/>
    <mergeCell ref="AD4:AE4"/>
    <mergeCell ref="BQ36:BR36"/>
    <mergeCell ref="BQ37:BR37"/>
    <mergeCell ref="CD33:CE33"/>
    <mergeCell ref="CD34:CE34"/>
    <mergeCell ref="CD36:CE36"/>
    <mergeCell ref="CD37:CE37"/>
    <mergeCell ref="CM10:CM11"/>
    <mergeCell ref="DO2:DP2"/>
    <mergeCell ref="D33:E33"/>
    <mergeCell ref="D34:E34"/>
    <mergeCell ref="D36:E36"/>
    <mergeCell ref="D37:E37"/>
    <mergeCell ref="Q33:R33"/>
    <mergeCell ref="Q34:R34"/>
    <mergeCell ref="Q36:R36"/>
    <mergeCell ref="Q37:R37"/>
    <mergeCell ref="AD33:AE33"/>
    <mergeCell ref="AD34:AE34"/>
    <mergeCell ref="AD36:AE36"/>
    <mergeCell ref="AD37:AE37"/>
    <mergeCell ref="AQ33:AR33"/>
    <mergeCell ref="AQ34:AR34"/>
    <mergeCell ref="AQ36:AR36"/>
    <mergeCell ref="AQ37:AR37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94A6-5E41-4606-A474-62DD174154FD}">
  <dimension ref="A1:R108"/>
  <sheetViews>
    <sheetView tabSelected="1" topLeftCell="A53" zoomScaleNormal="100" workbookViewId="0">
      <selection activeCell="H62" sqref="H62"/>
    </sheetView>
  </sheetViews>
  <sheetFormatPr defaultRowHeight="14.4" x14ac:dyDescent="0.3"/>
  <cols>
    <col min="8" max="9" width="11.88671875" bestFit="1" customWidth="1"/>
    <col min="12" max="12" width="11.6640625" bestFit="1" customWidth="1"/>
    <col min="14" max="14" width="11.6640625" bestFit="1" customWidth="1"/>
  </cols>
  <sheetData>
    <row r="1" spans="1:18" x14ac:dyDescent="0.3">
      <c r="A1" t="s">
        <v>77</v>
      </c>
      <c r="C1" t="s">
        <v>89</v>
      </c>
      <c r="E1" t="s">
        <v>88</v>
      </c>
      <c r="F1" t="s">
        <v>87</v>
      </c>
      <c r="G1" t="s">
        <v>86</v>
      </c>
      <c r="H1" t="s">
        <v>85</v>
      </c>
      <c r="J1" t="s">
        <v>84</v>
      </c>
    </row>
    <row r="2" spans="1:18" x14ac:dyDescent="0.3">
      <c r="A2">
        <v>0.85</v>
      </c>
      <c r="C2">
        <v>0.17780000000000001</v>
      </c>
      <c r="E2">
        <f>SUM(A2:A101)/100</f>
        <v>0.87089999999999979</v>
      </c>
      <c r="F2">
        <f>_xlfn.STDEV.S(A2:A101)</f>
        <v>3.7256820946917998E-2</v>
      </c>
      <c r="G2">
        <f>(4*PI()^2*C2)/E2^2</f>
        <v>9.2545416061841319</v>
      </c>
      <c r="H2">
        <f>F2/10</f>
        <v>3.7256820946917997E-3</v>
      </c>
      <c r="J2">
        <f>((9.81-G2)/9.81)*100</f>
        <v>5.662165074575622</v>
      </c>
    </row>
    <row r="3" spans="1:18" x14ac:dyDescent="0.3">
      <c r="A3">
        <v>0.82</v>
      </c>
      <c r="F3">
        <f>_xlfn.STDEV.P(A2:A101)</f>
        <v>3.7070068788714175E-2</v>
      </c>
      <c r="G3" t="e">
        <f>(4*PI()^2*C2)/E3^2</f>
        <v>#DIV/0!</v>
      </c>
    </row>
    <row r="4" spans="1:18" x14ac:dyDescent="0.3">
      <c r="A4">
        <v>0.85</v>
      </c>
    </row>
    <row r="5" spans="1:18" x14ac:dyDescent="0.3">
      <c r="A5">
        <v>0.86</v>
      </c>
      <c r="F5">
        <f>F2/2</f>
        <v>1.8628410473458999E-2</v>
      </c>
    </row>
    <row r="6" spans="1:18" x14ac:dyDescent="0.3">
      <c r="A6">
        <v>0.87</v>
      </c>
    </row>
    <row r="7" spans="1:18" x14ac:dyDescent="0.3">
      <c r="A7">
        <v>0.93</v>
      </c>
    </row>
    <row r="8" spans="1:18" x14ac:dyDescent="0.3">
      <c r="A8">
        <v>0.91</v>
      </c>
    </row>
    <row r="9" spans="1:18" x14ac:dyDescent="0.3">
      <c r="A9">
        <v>0.88</v>
      </c>
      <c r="E9" t="s">
        <v>83</v>
      </c>
      <c r="F9">
        <f>MIN(A2:A101)</f>
        <v>0.75</v>
      </c>
      <c r="G9">
        <f>F9+$F$5</f>
        <v>0.76862841047345898</v>
      </c>
      <c r="H9">
        <f>G9+$F$5</f>
        <v>0.78725682094691796</v>
      </c>
      <c r="I9">
        <f>H9+$F$5</f>
        <v>0.80588523142037694</v>
      </c>
      <c r="J9">
        <f>I9+$F$5</f>
        <v>0.82451364189383591</v>
      </c>
      <c r="K9">
        <f>J9+$F$5</f>
        <v>0.84314205236729489</v>
      </c>
      <c r="L9">
        <f>K9+$F$5</f>
        <v>0.86177046284075387</v>
      </c>
      <c r="M9">
        <f>L9+$F$5</f>
        <v>0.88039887331421285</v>
      </c>
      <c r="N9">
        <f>M9+$F$5</f>
        <v>0.89902728378767183</v>
      </c>
      <c r="O9">
        <f>N9+$F$5</f>
        <v>0.91765569426113081</v>
      </c>
      <c r="P9">
        <f>O9+$F$5</f>
        <v>0.93628410473458978</v>
      </c>
      <c r="Q9">
        <f>P9+$F$5</f>
        <v>0.95491251520804876</v>
      </c>
      <c r="R9">
        <f>Q9+$F$5</f>
        <v>0.97354092568150774</v>
      </c>
    </row>
    <row r="10" spans="1:18" x14ac:dyDescent="0.3">
      <c r="A10">
        <v>0.85</v>
      </c>
      <c r="E10" t="s">
        <v>82</v>
      </c>
      <c r="F10">
        <f>MAX(A2:A101)</f>
        <v>0.96</v>
      </c>
    </row>
    <row r="11" spans="1:18" x14ac:dyDescent="0.3">
      <c r="A11">
        <v>0.8</v>
      </c>
    </row>
    <row r="12" spans="1:18" x14ac:dyDescent="0.3">
      <c r="A12">
        <v>0.92</v>
      </c>
    </row>
    <row r="13" spans="1:18" x14ac:dyDescent="0.3">
      <c r="A13">
        <v>0.89</v>
      </c>
      <c r="E13" t="s">
        <v>81</v>
      </c>
      <c r="F13">
        <v>1</v>
      </c>
      <c r="G13">
        <v>2</v>
      </c>
      <c r="H13">
        <v>3</v>
      </c>
      <c r="I13">
        <v>4</v>
      </c>
      <c r="J13">
        <v>5</v>
      </c>
      <c r="K13">
        <v>6</v>
      </c>
      <c r="L13">
        <v>7</v>
      </c>
      <c r="M13">
        <v>8</v>
      </c>
      <c r="N13">
        <v>9</v>
      </c>
      <c r="O13">
        <v>10</v>
      </c>
      <c r="P13">
        <v>11</v>
      </c>
      <c r="Q13">
        <v>12</v>
      </c>
    </row>
    <row r="14" spans="1:18" x14ac:dyDescent="0.3">
      <c r="A14">
        <v>0.87</v>
      </c>
      <c r="F14">
        <f>(F9+G9)/2</f>
        <v>0.75931420523672943</v>
      </c>
      <c r="G14">
        <f>(G9+H9)/2</f>
        <v>0.77794261571018852</v>
      </c>
      <c r="H14">
        <f>(H9+I9)/2</f>
        <v>0.79657102618364739</v>
      </c>
      <c r="I14">
        <f>(I9+J9)/2</f>
        <v>0.81519943665710648</v>
      </c>
      <c r="J14">
        <f>(J9+K9)/2</f>
        <v>0.83382784713056535</v>
      </c>
      <c r="K14">
        <f>(K9+L9)/2</f>
        <v>0.85245625760402444</v>
      </c>
      <c r="L14">
        <f>(L9+M9)/2</f>
        <v>0.8710846680774833</v>
      </c>
      <c r="M14">
        <f>(M9+N9)/2</f>
        <v>0.88971307855094239</v>
      </c>
      <c r="N14">
        <f>(N9+O9)/2</f>
        <v>0.90834148902440126</v>
      </c>
      <c r="O14">
        <f>(O9+P9)/2</f>
        <v>0.92696989949786035</v>
      </c>
      <c r="P14">
        <f>(P9+Q9)/2</f>
        <v>0.94559830997131922</v>
      </c>
      <c r="Q14">
        <f>(Q9+R9)/2</f>
        <v>0.96422672044477831</v>
      </c>
    </row>
    <row r="15" spans="1:18" x14ac:dyDescent="0.3">
      <c r="A15">
        <v>0.82</v>
      </c>
      <c r="D15" t="s">
        <v>80</v>
      </c>
      <c r="E15">
        <f>F14</f>
        <v>0.75931420523672943</v>
      </c>
      <c r="F15" cm="1">
        <f t="array" ref="F15:F27">FREQUENCY(A2:A101,G9:R9)</f>
        <v>1</v>
      </c>
      <c r="G15">
        <f>E15</f>
        <v>0.75931420523672943</v>
      </c>
      <c r="H15">
        <f>_xlfn.NORM.DIST(E15,$E$2,$F$2,FALSE())</f>
        <v>0.12073457896547556</v>
      </c>
    </row>
    <row r="16" spans="1:18" x14ac:dyDescent="0.3">
      <c r="A16">
        <v>0.83</v>
      </c>
      <c r="E16">
        <f>G14</f>
        <v>0.77794261571018852</v>
      </c>
      <c r="F16">
        <v>0</v>
      </c>
      <c r="G16">
        <f>E16</f>
        <v>0.77794261571018852</v>
      </c>
      <c r="H16">
        <f>_xlfn.NORM.DIST(E16,$E$2,$F$2,FALSE())</f>
        <v>0.47633255803195818</v>
      </c>
    </row>
    <row r="17" spans="1:14" x14ac:dyDescent="0.3">
      <c r="A17">
        <v>0.81</v>
      </c>
      <c r="E17">
        <f>H14</f>
        <v>0.79657102618364739</v>
      </c>
      <c r="F17">
        <v>1</v>
      </c>
      <c r="G17">
        <f>E17</f>
        <v>0.79657102618364739</v>
      </c>
      <c r="H17">
        <f>_xlfn.NORM.DIST(E17,$E$2,$F$2,FALSE())</f>
        <v>1.4635758744219951</v>
      </c>
      <c r="L17">
        <f>E15</f>
        <v>0.75931420523672943</v>
      </c>
      <c r="M17">
        <f>F15</f>
        <v>1</v>
      </c>
      <c r="N17">
        <f>H15</f>
        <v>0.12073457896547556</v>
      </c>
    </row>
    <row r="18" spans="1:14" x14ac:dyDescent="0.3">
      <c r="A18" s="1">
        <v>0.93</v>
      </c>
      <c r="E18">
        <f>I14</f>
        <v>0.81519943665710648</v>
      </c>
      <c r="F18">
        <v>10</v>
      </c>
      <c r="G18">
        <f>E18</f>
        <v>0.81519943665710648</v>
      </c>
      <c r="H18">
        <f>_xlfn.NORM.DIST(E18,$E$2,$F$2,FALSE())</f>
        <v>3.502245583241558</v>
      </c>
      <c r="L18">
        <f>E16</f>
        <v>0.77794261571018852</v>
      </c>
      <c r="M18">
        <f>F16</f>
        <v>0</v>
      </c>
      <c r="N18">
        <f>H16</f>
        <v>0.47633255803195818</v>
      </c>
    </row>
    <row r="19" spans="1:14" x14ac:dyDescent="0.3">
      <c r="A19" s="1">
        <v>0.93</v>
      </c>
      <c r="E19">
        <f>J14</f>
        <v>0.83382784713056535</v>
      </c>
      <c r="F19">
        <v>14</v>
      </c>
      <c r="G19">
        <f>E19</f>
        <v>0.83382784713056535</v>
      </c>
      <c r="H19">
        <f>_xlfn.NORM.DIST(E19,$E$2,$F$2,FALSE())</f>
        <v>6.5268604933250858</v>
      </c>
      <c r="L19">
        <f>E17</f>
        <v>0.79657102618364739</v>
      </c>
      <c r="M19">
        <f>F17</f>
        <v>1</v>
      </c>
      <c r="N19">
        <f>H17</f>
        <v>1.4635758744219951</v>
      </c>
    </row>
    <row r="20" spans="1:14" x14ac:dyDescent="0.3">
      <c r="A20" s="1">
        <v>0.89</v>
      </c>
      <c r="E20">
        <f>K14</f>
        <v>0.85245625760402444</v>
      </c>
      <c r="F20">
        <v>18</v>
      </c>
      <c r="G20">
        <f>E20</f>
        <v>0.85245625760402444</v>
      </c>
      <c r="H20">
        <f>_xlfn.NORM.DIST(E20,$E$2,$F$2,FALSE())</f>
        <v>9.4730197646674164</v>
      </c>
      <c r="L20">
        <f>E18</f>
        <v>0.81519943665710648</v>
      </c>
      <c r="M20">
        <f>F18</f>
        <v>10</v>
      </c>
      <c r="N20">
        <f>H18</f>
        <v>3.502245583241558</v>
      </c>
    </row>
    <row r="21" spans="1:14" x14ac:dyDescent="0.3">
      <c r="A21" s="1">
        <v>0.82</v>
      </c>
      <c r="E21">
        <f>L14</f>
        <v>0.8710846680774833</v>
      </c>
      <c r="F21">
        <v>15</v>
      </c>
      <c r="G21">
        <f>E21</f>
        <v>0.8710846680774833</v>
      </c>
      <c r="H21">
        <f>_xlfn.NORM.DIST(E21,$E$2,$F$2,FALSE())</f>
        <v>10.707767588850698</v>
      </c>
      <c r="L21">
        <f>E19</f>
        <v>0.83382784713056535</v>
      </c>
      <c r="M21">
        <f>F19</f>
        <v>14</v>
      </c>
      <c r="N21">
        <f>H19</f>
        <v>6.5268604933250858</v>
      </c>
    </row>
    <row r="22" spans="1:14" x14ac:dyDescent="0.3">
      <c r="A22" s="1">
        <v>0.89</v>
      </c>
      <c r="E22">
        <f>M14</f>
        <v>0.88971307855094239</v>
      </c>
      <c r="F22">
        <v>16</v>
      </c>
      <c r="G22">
        <f>E22</f>
        <v>0.88971307855094239</v>
      </c>
      <c r="H22">
        <f>_xlfn.NORM.DIST(E22,$E$2,$F$2,FALSE())</f>
        <v>9.4261817364472407</v>
      </c>
      <c r="L22">
        <f>E20</f>
        <v>0.85245625760402444</v>
      </c>
      <c r="M22">
        <f>F20</f>
        <v>18</v>
      </c>
      <c r="N22">
        <f>H20</f>
        <v>9.4730197646674164</v>
      </c>
    </row>
    <row r="23" spans="1:14" x14ac:dyDescent="0.3">
      <c r="A23" s="1">
        <v>0.96</v>
      </c>
      <c r="E23">
        <f>N14</f>
        <v>0.90834148902440126</v>
      </c>
      <c r="F23">
        <v>16</v>
      </c>
      <c r="G23">
        <f>E23</f>
        <v>0.90834148902440126</v>
      </c>
      <c r="H23">
        <f>_xlfn.NORM.DIST(E23,$E$2,$F$2,FALSE())</f>
        <v>6.4624777463343168</v>
      </c>
      <c r="L23">
        <f>E21</f>
        <v>0.8710846680774833</v>
      </c>
      <c r="M23">
        <f>F21</f>
        <v>15</v>
      </c>
      <c r="N23">
        <f>H21</f>
        <v>10.707767588850698</v>
      </c>
    </row>
    <row r="24" spans="1:14" x14ac:dyDescent="0.3">
      <c r="A24" s="1">
        <v>0.9</v>
      </c>
      <c r="E24">
        <f>O14</f>
        <v>0.92696989949786035</v>
      </c>
      <c r="F24">
        <v>6</v>
      </c>
      <c r="G24">
        <f>E24</f>
        <v>0.92696989949786035</v>
      </c>
      <c r="H24">
        <f>_xlfn.NORM.DIST(E24,$E$2,$F$2,FALSE())</f>
        <v>3.450552916971847</v>
      </c>
      <c r="L24">
        <f>E22</f>
        <v>0.88971307855094239</v>
      </c>
      <c r="M24">
        <f>F22</f>
        <v>16</v>
      </c>
      <c r="N24">
        <f>H22</f>
        <v>9.4261817364472407</v>
      </c>
    </row>
    <row r="25" spans="1:14" x14ac:dyDescent="0.3">
      <c r="A25" s="1">
        <v>0.9</v>
      </c>
      <c r="E25">
        <f>P14</f>
        <v>0.94559830997131922</v>
      </c>
      <c r="F25">
        <v>0</v>
      </c>
      <c r="G25">
        <f>E25</f>
        <v>0.94559830997131922</v>
      </c>
      <c r="H25">
        <f>_xlfn.NORM.DIST(E25,$E$2,$F$2,FALSE())</f>
        <v>1.4348440561884204</v>
      </c>
      <c r="L25">
        <f>E23</f>
        <v>0.90834148902440126</v>
      </c>
      <c r="M25">
        <f>F23</f>
        <v>16</v>
      </c>
      <c r="N25">
        <f>H23</f>
        <v>6.4624777463343168</v>
      </c>
    </row>
    <row r="26" spans="1:14" x14ac:dyDescent="0.3">
      <c r="A26" s="1">
        <v>0.81</v>
      </c>
      <c r="E26">
        <f>Q14</f>
        <v>0.96422672044477831</v>
      </c>
      <c r="F26">
        <v>3</v>
      </c>
      <c r="G26">
        <f>E26</f>
        <v>0.96422672044477831</v>
      </c>
      <c r="H26">
        <f>_xlfn.NORM.DIST(E26,$E$2,$F$2,FALSE())</f>
        <v>0.46467263100835315</v>
      </c>
      <c r="L26">
        <f>E24</f>
        <v>0.92696989949786035</v>
      </c>
      <c r="M26">
        <f>F24</f>
        <v>6</v>
      </c>
      <c r="N26">
        <f>H24</f>
        <v>3.450552916971847</v>
      </c>
    </row>
    <row r="27" spans="1:14" x14ac:dyDescent="0.3">
      <c r="A27" s="1">
        <v>0.92</v>
      </c>
      <c r="E27" t="s">
        <v>79</v>
      </c>
      <c r="F27">
        <v>0</v>
      </c>
      <c r="L27">
        <f>E25</f>
        <v>0.94559830997131922</v>
      </c>
      <c r="M27">
        <f>F25</f>
        <v>0</v>
      </c>
      <c r="N27">
        <f>H25</f>
        <v>1.4348440561884204</v>
      </c>
    </row>
    <row r="28" spans="1:14" x14ac:dyDescent="0.3">
      <c r="A28" s="1">
        <v>0.91</v>
      </c>
      <c r="L28">
        <f>E26</f>
        <v>0.96422672044477831</v>
      </c>
      <c r="M28">
        <f>F26</f>
        <v>3</v>
      </c>
      <c r="N28">
        <f>H26</f>
        <v>0.46467263100835315</v>
      </c>
    </row>
    <row r="29" spans="1:14" x14ac:dyDescent="0.3">
      <c r="A29" s="1">
        <v>0.84</v>
      </c>
      <c r="G29">
        <f>SUM(_xlfn.ANCHORARRAY(F15))</f>
        <v>100</v>
      </c>
      <c r="L29" t="str">
        <f>E27</f>
        <v>NO</v>
      </c>
    </row>
    <row r="30" spans="1:14" x14ac:dyDescent="0.3">
      <c r="A30" s="1">
        <v>0.86</v>
      </c>
    </row>
    <row r="31" spans="1:14" x14ac:dyDescent="0.3">
      <c r="A31" s="1">
        <v>0.92</v>
      </c>
    </row>
    <row r="32" spans="1:14" x14ac:dyDescent="0.3">
      <c r="A32" s="1">
        <v>0.9</v>
      </c>
    </row>
    <row r="33" spans="1:17" x14ac:dyDescent="0.3">
      <c r="A33" s="1">
        <v>0.85</v>
      </c>
    </row>
    <row r="34" spans="1:17" x14ac:dyDescent="0.3">
      <c r="A34" s="1">
        <v>0.82</v>
      </c>
      <c r="D34" t="s">
        <v>78</v>
      </c>
    </row>
    <row r="35" spans="1:17" x14ac:dyDescent="0.3">
      <c r="A35" s="1">
        <v>0.87</v>
      </c>
      <c r="D35" t="s">
        <v>77</v>
      </c>
    </row>
    <row r="36" spans="1:17" x14ac:dyDescent="0.3">
      <c r="A36" s="1">
        <v>0.82</v>
      </c>
      <c r="D36">
        <v>8.66</v>
      </c>
      <c r="E36">
        <f>D36/10</f>
        <v>0.86599999999999999</v>
      </c>
      <c r="F36" t="s">
        <v>63</v>
      </c>
      <c r="H36" t="s">
        <v>76</v>
      </c>
      <c r="J36" t="s">
        <v>75</v>
      </c>
      <c r="L36" t="s">
        <v>74</v>
      </c>
      <c r="N36" t="s">
        <v>73</v>
      </c>
    </row>
    <row r="37" spans="1:17" x14ac:dyDescent="0.3">
      <c r="A37" s="1">
        <v>0.9</v>
      </c>
      <c r="D37">
        <v>8.67</v>
      </c>
      <c r="E37">
        <f>D37/10</f>
        <v>0.86699999999999999</v>
      </c>
      <c r="F37">
        <f>AVERAGE(D36:D45)</f>
        <v>8.7159999999999993</v>
      </c>
      <c r="H37">
        <f>(4*PI()^2*C2)/F38^2</f>
        <v>9.2396825475690303</v>
      </c>
      <c r="J37">
        <f>_xlfn.STDEV.S(E36:E45)</f>
        <v>7.1523112037686744E-3</v>
      </c>
      <c r="L37">
        <f>J37/SQRT(10)</f>
        <v>2.2617593938249686E-3</v>
      </c>
      <c r="N37">
        <f>2*PI()*SQRT(C2/9.81)</f>
        <v>0.845884842742753</v>
      </c>
    </row>
    <row r="38" spans="1:17" x14ac:dyDescent="0.3">
      <c r="A38" s="1">
        <v>0.84</v>
      </c>
      <c r="D38">
        <v>8.7200000000000006</v>
      </c>
      <c r="E38">
        <f>D38/10</f>
        <v>0.87200000000000011</v>
      </c>
      <c r="F38">
        <f>F37/10</f>
        <v>0.87159999999999993</v>
      </c>
    </row>
    <row r="39" spans="1:17" x14ac:dyDescent="0.3">
      <c r="A39" s="1">
        <v>0.9</v>
      </c>
      <c r="D39">
        <v>8.65</v>
      </c>
      <c r="E39">
        <f>D39/10</f>
        <v>0.86499999999999999</v>
      </c>
      <c r="N39" t="s">
        <v>72</v>
      </c>
    </row>
    <row r="40" spans="1:17" x14ac:dyDescent="0.3">
      <c r="A40" s="1">
        <v>0.91</v>
      </c>
      <c r="D40">
        <v>8.73</v>
      </c>
      <c r="E40">
        <f>D40/10</f>
        <v>0.873</v>
      </c>
      <c r="N40">
        <f>(9.81*F38^2)/(4*PI()^2)</f>
        <v>0.18877466742176177</v>
      </c>
      <c r="Q40" t="s">
        <v>71</v>
      </c>
    </row>
    <row r="41" spans="1:17" x14ac:dyDescent="0.3">
      <c r="A41" s="1">
        <v>0.9</v>
      </c>
      <c r="D41">
        <v>8.69</v>
      </c>
      <c r="E41">
        <f>D41/10</f>
        <v>0.86899999999999999</v>
      </c>
    </row>
    <row r="42" spans="1:17" x14ac:dyDescent="0.3">
      <c r="A42" s="1">
        <v>0.88</v>
      </c>
      <c r="D42">
        <v>8.74</v>
      </c>
      <c r="E42">
        <f>D42/10</f>
        <v>0.874</v>
      </c>
    </row>
    <row r="43" spans="1:17" x14ac:dyDescent="0.3">
      <c r="A43" s="1">
        <v>0.84</v>
      </c>
      <c r="D43">
        <v>8.64</v>
      </c>
      <c r="E43">
        <f>D43/10</f>
        <v>0.8640000000000001</v>
      </c>
    </row>
    <row r="44" spans="1:17" x14ac:dyDescent="0.3">
      <c r="A44" s="1">
        <v>0.91</v>
      </c>
      <c r="D44">
        <v>8.8699999999999992</v>
      </c>
      <c r="E44">
        <f>D44/10</f>
        <v>0.8869999999999999</v>
      </c>
    </row>
    <row r="45" spans="1:17" x14ac:dyDescent="0.3">
      <c r="A45" s="1">
        <v>0.91</v>
      </c>
      <c r="D45">
        <v>8.7899999999999991</v>
      </c>
      <c r="E45">
        <f>D45/10</f>
        <v>0.87899999999999989</v>
      </c>
    </row>
    <row r="46" spans="1:17" x14ac:dyDescent="0.3">
      <c r="A46" s="1">
        <v>0.84</v>
      </c>
    </row>
    <row r="47" spans="1:17" x14ac:dyDescent="0.3">
      <c r="A47" s="1">
        <v>0.83</v>
      </c>
    </row>
    <row r="48" spans="1:17" x14ac:dyDescent="0.3">
      <c r="A48" s="1">
        <v>0.89</v>
      </c>
    </row>
    <row r="49" spans="1:17" x14ac:dyDescent="0.3">
      <c r="A49" s="1">
        <v>0.86</v>
      </c>
      <c r="D49" t="s">
        <v>70</v>
      </c>
      <c r="F49" t="s">
        <v>64</v>
      </c>
      <c r="G49">
        <v>62.98</v>
      </c>
      <c r="H49">
        <f>G49/100</f>
        <v>0.62979999999999992</v>
      </c>
    </row>
    <row r="50" spans="1:17" x14ac:dyDescent="0.3">
      <c r="A50" s="1">
        <v>0.84</v>
      </c>
      <c r="D50">
        <v>15.94</v>
      </c>
      <c r="E50">
        <f>D50/10</f>
        <v>1.5939999999999999</v>
      </c>
    </row>
    <row r="51" spans="1:17" x14ac:dyDescent="0.3">
      <c r="A51" s="1">
        <v>0.89</v>
      </c>
      <c r="D51">
        <v>15.79</v>
      </c>
      <c r="E51">
        <f>D51/10</f>
        <v>1.579</v>
      </c>
      <c r="G51" t="s">
        <v>63</v>
      </c>
      <c r="H51">
        <f>AVERAGE(E50:E59)</f>
        <v>1.5840000000000001</v>
      </c>
      <c r="L51" t="s">
        <v>25</v>
      </c>
      <c r="M51" t="s">
        <v>64</v>
      </c>
      <c r="N51" t="str">
        <f>L51</f>
        <v>periodo</v>
      </c>
      <c r="P51" t="s">
        <v>69</v>
      </c>
      <c r="Q51" t="s">
        <v>64</v>
      </c>
    </row>
    <row r="52" spans="1:17" x14ac:dyDescent="0.3">
      <c r="A52" s="1">
        <v>0.89</v>
      </c>
      <c r="D52">
        <v>15.79</v>
      </c>
      <c r="E52">
        <f>D52/10</f>
        <v>1.579</v>
      </c>
      <c r="L52">
        <f>F38</f>
        <v>0.87159999999999993</v>
      </c>
      <c r="M52">
        <f>C2</f>
        <v>0.17780000000000001</v>
      </c>
      <c r="N52">
        <f>L52</f>
        <v>0.87159999999999993</v>
      </c>
      <c r="P52">
        <f>L52^2</f>
        <v>0.7596865599999999</v>
      </c>
      <c r="Q52">
        <f>M52</f>
        <v>0.17780000000000001</v>
      </c>
    </row>
    <row r="53" spans="1:17" x14ac:dyDescent="0.3">
      <c r="A53" s="1">
        <v>0.75</v>
      </c>
      <c r="D53">
        <v>15.86</v>
      </c>
      <c r="E53">
        <f>D53/10</f>
        <v>1.5859999999999999</v>
      </c>
      <c r="L53">
        <f>H51</f>
        <v>1.5840000000000001</v>
      </c>
      <c r="M53">
        <f>H49</f>
        <v>0.62979999999999992</v>
      </c>
      <c r="N53">
        <f>L53</f>
        <v>1.5840000000000001</v>
      </c>
      <c r="P53">
        <f>L53^2</f>
        <v>2.5090560000000002</v>
      </c>
      <c r="Q53">
        <f>M53</f>
        <v>0.62979999999999992</v>
      </c>
    </row>
    <row r="54" spans="1:17" x14ac:dyDescent="0.3">
      <c r="A54" s="1">
        <v>0.85</v>
      </c>
      <c r="D54">
        <v>15.86</v>
      </c>
      <c r="E54">
        <f>D54/10</f>
        <v>1.5859999999999999</v>
      </c>
      <c r="L54">
        <f>H64</f>
        <v>1.4816</v>
      </c>
      <c r="M54">
        <f>H62</f>
        <v>0.54880000000000007</v>
      </c>
      <c r="N54">
        <f>L54</f>
        <v>1.4816</v>
      </c>
      <c r="P54">
        <f>L54^2</f>
        <v>2.1951385600000002</v>
      </c>
      <c r="Q54">
        <f>M54</f>
        <v>0.54880000000000007</v>
      </c>
    </row>
    <row r="55" spans="1:17" x14ac:dyDescent="0.3">
      <c r="A55" s="1">
        <v>0.84</v>
      </c>
      <c r="D55">
        <v>15.85</v>
      </c>
      <c r="E55">
        <f>D55/10</f>
        <v>1.585</v>
      </c>
      <c r="L55">
        <f>H77</f>
        <v>1.1325999999999996</v>
      </c>
      <c r="M55">
        <f>H75</f>
        <v>0.31780000000000003</v>
      </c>
      <c r="N55">
        <f>L55</f>
        <v>1.1325999999999996</v>
      </c>
      <c r="P55">
        <f>L55^2</f>
        <v>1.282782759999999</v>
      </c>
      <c r="Q55">
        <f>M55</f>
        <v>0.31780000000000003</v>
      </c>
    </row>
    <row r="56" spans="1:17" x14ac:dyDescent="0.3">
      <c r="A56" s="1">
        <v>0.81</v>
      </c>
      <c r="D56">
        <v>15.71</v>
      </c>
      <c r="E56">
        <f>D56/10</f>
        <v>1.5710000000000002</v>
      </c>
      <c r="L56">
        <f>H90</f>
        <v>0.72950000000000004</v>
      </c>
      <c r="M56">
        <f>H88</f>
        <v>0.1278</v>
      </c>
      <c r="N56">
        <f>L56</f>
        <v>0.72950000000000004</v>
      </c>
      <c r="P56">
        <f>L56^2</f>
        <v>0.53217025000000007</v>
      </c>
      <c r="Q56">
        <f>M56</f>
        <v>0.1278</v>
      </c>
    </row>
    <row r="57" spans="1:17" x14ac:dyDescent="0.3">
      <c r="A57" s="1">
        <v>0.9</v>
      </c>
      <c r="D57">
        <v>15.86</v>
      </c>
      <c r="E57">
        <f>D57/10</f>
        <v>1.5859999999999999</v>
      </c>
      <c r="L57">
        <f>H103</f>
        <v>0.38659999999999994</v>
      </c>
      <c r="M57">
        <f>H101</f>
        <v>3.78E-2</v>
      </c>
      <c r="N57">
        <f>L57</f>
        <v>0.38659999999999994</v>
      </c>
      <c r="P57">
        <f>L57^2</f>
        <v>0.14945955999999996</v>
      </c>
      <c r="Q57">
        <f>M57</f>
        <v>3.78E-2</v>
      </c>
    </row>
    <row r="58" spans="1:17" x14ac:dyDescent="0.3">
      <c r="A58" s="1">
        <v>0.86</v>
      </c>
      <c r="D58">
        <v>15.89</v>
      </c>
      <c r="E58">
        <f>D58/10</f>
        <v>1.589</v>
      </c>
    </row>
    <row r="59" spans="1:17" x14ac:dyDescent="0.3">
      <c r="A59" s="1">
        <v>0.86</v>
      </c>
      <c r="D59">
        <v>15.85</v>
      </c>
      <c r="E59">
        <f>D59/10</f>
        <v>1.585</v>
      </c>
      <c r="O59" t="s">
        <v>68</v>
      </c>
    </row>
    <row r="60" spans="1:17" x14ac:dyDescent="0.3">
      <c r="A60" s="1">
        <v>0.85</v>
      </c>
      <c r="O60">
        <f>LOG10(L52)</f>
        <v>-5.968277842578202E-2</v>
      </c>
      <c r="P60">
        <f>LOG10(M52)</f>
        <v>-0.75006824336580513</v>
      </c>
    </row>
    <row r="61" spans="1:17" x14ac:dyDescent="0.3">
      <c r="A61" s="1">
        <v>0.81</v>
      </c>
      <c r="O61">
        <f>LOG10(L53)</f>
        <v>0.19975517725347472</v>
      </c>
      <c r="P61">
        <f>LOG10(M53)</f>
        <v>-0.20079734369947497</v>
      </c>
    </row>
    <row r="62" spans="1:17" x14ac:dyDescent="0.3">
      <c r="A62" s="1">
        <v>0.89</v>
      </c>
      <c r="D62" t="s">
        <v>67</v>
      </c>
      <c r="F62" t="s">
        <v>64</v>
      </c>
      <c r="G62">
        <v>54.88</v>
      </c>
      <c r="H62">
        <f>G62/100</f>
        <v>0.54880000000000007</v>
      </c>
      <c r="O62">
        <f>LOG10(L54)</f>
        <v>0.17073096933785911</v>
      </c>
      <c r="P62">
        <f>LOG10(M54)</f>
        <v>-0.26058589730130466</v>
      </c>
    </row>
    <row r="63" spans="1:17" x14ac:dyDescent="0.3">
      <c r="A63" s="1">
        <v>0.9</v>
      </c>
      <c r="D63">
        <v>14.89</v>
      </c>
      <c r="E63">
        <f>D63/10</f>
        <v>1.4890000000000001</v>
      </c>
      <c r="O63">
        <f>LOG10(L55)</f>
        <v>5.4076557290510183E-2</v>
      </c>
      <c r="P63">
        <f>LOG10(M55)</f>
        <v>-0.49784610712863919</v>
      </c>
    </row>
    <row r="64" spans="1:17" x14ac:dyDescent="0.3">
      <c r="A64" s="1">
        <v>0.88</v>
      </c>
      <c r="D64">
        <v>14.72</v>
      </c>
      <c r="E64">
        <f>D64/10</f>
        <v>1.472</v>
      </c>
      <c r="G64" t="s">
        <v>63</v>
      </c>
      <c r="H64">
        <f>AVERAGE(E63:E72)</f>
        <v>1.4816</v>
      </c>
      <c r="O64">
        <f>LOG10(L56)</f>
        <v>-0.13697470377052956</v>
      </c>
      <c r="P64">
        <f>LOG10(M56)</f>
        <v>-0.89346914617761863</v>
      </c>
    </row>
    <row r="65" spans="1:16" x14ac:dyDescent="0.3">
      <c r="A65" s="1">
        <v>0.88</v>
      </c>
      <c r="D65">
        <v>14.84</v>
      </c>
      <c r="E65">
        <f>D65/10</f>
        <v>1.484</v>
      </c>
      <c r="O65">
        <f>LOG10(L57)</f>
        <v>-0.41273815030746586</v>
      </c>
      <c r="P65">
        <f>LOG10(M57)</f>
        <v>-1.4225082001627747</v>
      </c>
    </row>
    <row r="66" spans="1:16" x14ac:dyDescent="0.3">
      <c r="A66" s="1">
        <v>0.83</v>
      </c>
      <c r="D66">
        <v>14.74</v>
      </c>
      <c r="E66">
        <f>D66/10</f>
        <v>1.474</v>
      </c>
    </row>
    <row r="67" spans="1:16" x14ac:dyDescent="0.3">
      <c r="A67" s="1">
        <v>0.89</v>
      </c>
      <c r="D67">
        <v>14.85</v>
      </c>
      <c r="E67">
        <f>D67/10</f>
        <v>1.4849999999999999</v>
      </c>
    </row>
    <row r="68" spans="1:16" x14ac:dyDescent="0.3">
      <c r="A68" s="1">
        <v>0.89</v>
      </c>
      <c r="D68">
        <v>14.73</v>
      </c>
      <c r="E68">
        <f>D68/10</f>
        <v>1.4730000000000001</v>
      </c>
    </row>
    <row r="69" spans="1:16" x14ac:dyDescent="0.3">
      <c r="A69" s="1">
        <v>0.87</v>
      </c>
      <c r="D69">
        <v>14.91</v>
      </c>
      <c r="E69">
        <f>D69/10</f>
        <v>1.4910000000000001</v>
      </c>
    </row>
    <row r="70" spans="1:16" x14ac:dyDescent="0.3">
      <c r="A70" s="1">
        <v>0.87</v>
      </c>
      <c r="D70">
        <v>14.88</v>
      </c>
      <c r="E70">
        <f>D70/10</f>
        <v>1.488</v>
      </c>
    </row>
    <row r="71" spans="1:16" x14ac:dyDescent="0.3">
      <c r="A71" s="1">
        <v>0.89</v>
      </c>
      <c r="D71">
        <v>14.8</v>
      </c>
      <c r="E71">
        <f>D71/10</f>
        <v>1.48</v>
      </c>
    </row>
    <row r="72" spans="1:16" x14ac:dyDescent="0.3">
      <c r="A72" s="1">
        <v>0.89</v>
      </c>
      <c r="D72">
        <v>14.8</v>
      </c>
      <c r="E72">
        <f>D72/10</f>
        <v>1.48</v>
      </c>
    </row>
    <row r="73" spans="1:16" x14ac:dyDescent="0.3">
      <c r="A73" s="1">
        <v>0.89</v>
      </c>
    </row>
    <row r="74" spans="1:16" x14ac:dyDescent="0.3">
      <c r="A74" s="1">
        <v>0.89</v>
      </c>
    </row>
    <row r="75" spans="1:16" x14ac:dyDescent="0.3">
      <c r="A75" s="1">
        <v>0.83</v>
      </c>
      <c r="D75" t="s">
        <v>66</v>
      </c>
      <c r="F75" t="s">
        <v>64</v>
      </c>
      <c r="G75">
        <v>31.78</v>
      </c>
      <c r="H75">
        <f>G75/100</f>
        <v>0.31780000000000003</v>
      </c>
    </row>
    <row r="76" spans="1:16" x14ac:dyDescent="0.3">
      <c r="A76" s="1">
        <v>0.85</v>
      </c>
      <c r="D76">
        <v>11.32</v>
      </c>
      <c r="E76">
        <f>D76/10</f>
        <v>1.1320000000000001</v>
      </c>
    </row>
    <row r="77" spans="1:16" x14ac:dyDescent="0.3">
      <c r="A77" s="1">
        <v>0.84</v>
      </c>
      <c r="D77">
        <v>11.25</v>
      </c>
      <c r="E77">
        <f>D77/10</f>
        <v>1.125</v>
      </c>
      <c r="G77" t="s">
        <v>63</v>
      </c>
      <c r="H77">
        <f>AVERAGE(E76:E85)</f>
        <v>1.1325999999999996</v>
      </c>
    </row>
    <row r="78" spans="1:16" x14ac:dyDescent="0.3">
      <c r="A78" s="1">
        <v>0.86</v>
      </c>
      <c r="D78">
        <v>11.23</v>
      </c>
      <c r="E78">
        <f>D78/10</f>
        <v>1.123</v>
      </c>
    </row>
    <row r="79" spans="1:16" x14ac:dyDescent="0.3">
      <c r="A79" s="1">
        <v>0.88</v>
      </c>
      <c r="D79">
        <v>11.4</v>
      </c>
      <c r="E79">
        <f>D79/10</f>
        <v>1.1400000000000001</v>
      </c>
    </row>
    <row r="80" spans="1:16" x14ac:dyDescent="0.3">
      <c r="A80" s="1">
        <v>0.89</v>
      </c>
      <c r="D80">
        <v>11.43</v>
      </c>
      <c r="E80">
        <f>D80/10</f>
        <v>1.143</v>
      </c>
    </row>
    <row r="81" spans="1:8" x14ac:dyDescent="0.3">
      <c r="A81" s="1">
        <v>0.83</v>
      </c>
      <c r="D81">
        <v>11.33</v>
      </c>
      <c r="E81">
        <f>D81/10</f>
        <v>1.133</v>
      </c>
    </row>
    <row r="82" spans="1:8" x14ac:dyDescent="0.3">
      <c r="A82" s="1">
        <v>0.86</v>
      </c>
      <c r="D82">
        <v>11.26</v>
      </c>
      <c r="E82">
        <f>D82/10</f>
        <v>1.1259999999999999</v>
      </c>
    </row>
    <row r="83" spans="1:8" x14ac:dyDescent="0.3">
      <c r="A83" s="1">
        <v>0.96</v>
      </c>
      <c r="D83">
        <v>11.26</v>
      </c>
      <c r="E83">
        <f>D83/10</f>
        <v>1.1259999999999999</v>
      </c>
    </row>
    <row r="84" spans="1:8" x14ac:dyDescent="0.3">
      <c r="A84" s="1">
        <v>0.87</v>
      </c>
      <c r="D84">
        <v>11.29</v>
      </c>
      <c r="E84">
        <f>D84/10</f>
        <v>1.129</v>
      </c>
    </row>
    <row r="85" spans="1:8" x14ac:dyDescent="0.3">
      <c r="A85" s="1">
        <v>0.88</v>
      </c>
      <c r="D85">
        <v>11.49</v>
      </c>
      <c r="E85">
        <f>D85/10</f>
        <v>1.149</v>
      </c>
    </row>
    <row r="86" spans="1:8" x14ac:dyDescent="0.3">
      <c r="A86" s="1">
        <v>0.84</v>
      </c>
    </row>
    <row r="87" spans="1:8" x14ac:dyDescent="0.3">
      <c r="A87" s="1">
        <v>0.91</v>
      </c>
    </row>
    <row r="88" spans="1:8" x14ac:dyDescent="0.3">
      <c r="A88" s="1">
        <v>0.88</v>
      </c>
      <c r="D88" t="s">
        <v>65</v>
      </c>
      <c r="F88" t="s">
        <v>64</v>
      </c>
      <c r="G88">
        <v>12.78</v>
      </c>
      <c r="H88">
        <f>G88/100</f>
        <v>0.1278</v>
      </c>
    </row>
    <row r="89" spans="1:8" x14ac:dyDescent="0.3">
      <c r="A89" s="1">
        <v>0.84</v>
      </c>
      <c r="D89">
        <v>7.45</v>
      </c>
      <c r="E89">
        <f>D89/10</f>
        <v>0.745</v>
      </c>
    </row>
    <row r="90" spans="1:8" x14ac:dyDescent="0.3">
      <c r="A90" s="1">
        <v>0.88</v>
      </c>
      <c r="D90">
        <v>7.47</v>
      </c>
      <c r="E90">
        <f>D90/10</f>
        <v>0.747</v>
      </c>
      <c r="G90" t="s">
        <v>63</v>
      </c>
      <c r="H90">
        <f>AVERAGE(E89:E98)</f>
        <v>0.72950000000000004</v>
      </c>
    </row>
    <row r="91" spans="1:8" x14ac:dyDescent="0.3">
      <c r="A91" s="1">
        <v>0.86</v>
      </c>
      <c r="D91">
        <v>7.22</v>
      </c>
      <c r="E91">
        <f>D91/10</f>
        <v>0.72199999999999998</v>
      </c>
    </row>
    <row r="92" spans="1:8" x14ac:dyDescent="0.3">
      <c r="A92" s="1">
        <v>0.89</v>
      </c>
      <c r="D92">
        <v>7.34</v>
      </c>
      <c r="E92">
        <f>D92/10</f>
        <v>0.73399999999999999</v>
      </c>
    </row>
    <row r="93" spans="1:8" x14ac:dyDescent="0.3">
      <c r="A93" s="1">
        <v>0.86</v>
      </c>
      <c r="D93">
        <v>7.24</v>
      </c>
      <c r="E93">
        <f>D93/10</f>
        <v>0.72399999999999998</v>
      </c>
    </row>
    <row r="94" spans="1:8" x14ac:dyDescent="0.3">
      <c r="A94" s="1">
        <v>0.9</v>
      </c>
      <c r="D94">
        <v>7.29</v>
      </c>
      <c r="E94">
        <f>D94/10</f>
        <v>0.72899999999999998</v>
      </c>
    </row>
    <row r="95" spans="1:8" x14ac:dyDescent="0.3">
      <c r="A95" s="1">
        <v>0.86</v>
      </c>
      <c r="D95">
        <v>7.22</v>
      </c>
      <c r="E95">
        <f>D95/10</f>
        <v>0.72199999999999998</v>
      </c>
    </row>
    <row r="96" spans="1:8" x14ac:dyDescent="0.3">
      <c r="A96" s="1">
        <v>0.9</v>
      </c>
      <c r="D96">
        <v>7.24</v>
      </c>
      <c r="E96">
        <f>D96/10</f>
        <v>0.72399999999999998</v>
      </c>
    </row>
    <row r="97" spans="1:8" x14ac:dyDescent="0.3">
      <c r="A97" s="1">
        <v>0.88</v>
      </c>
      <c r="D97">
        <v>7.34</v>
      </c>
      <c r="E97">
        <f>D97/10</f>
        <v>0.73399999999999999</v>
      </c>
    </row>
    <row r="98" spans="1:8" x14ac:dyDescent="0.3">
      <c r="A98" s="1">
        <v>0.82</v>
      </c>
      <c r="D98">
        <v>7.14</v>
      </c>
      <c r="E98">
        <f>D98/10</f>
        <v>0.71399999999999997</v>
      </c>
    </row>
    <row r="99" spans="1:8" x14ac:dyDescent="0.3">
      <c r="A99" s="1">
        <v>0.85</v>
      </c>
    </row>
    <row r="100" spans="1:8" x14ac:dyDescent="0.3">
      <c r="A100" s="1">
        <v>0.89</v>
      </c>
    </row>
    <row r="101" spans="1:8" x14ac:dyDescent="0.3">
      <c r="A101" s="1">
        <v>0.96</v>
      </c>
      <c r="D101" t="s">
        <v>65</v>
      </c>
      <c r="F101" t="s">
        <v>64</v>
      </c>
      <c r="G101">
        <v>3.78</v>
      </c>
      <c r="H101">
        <f>G101/100</f>
        <v>3.78E-2</v>
      </c>
    </row>
    <row r="102" spans="1:8" x14ac:dyDescent="0.3">
      <c r="A102" s="1"/>
      <c r="D102">
        <v>7.61</v>
      </c>
      <c r="E102">
        <f>D102/20</f>
        <v>0.3805</v>
      </c>
    </row>
    <row r="103" spans="1:8" x14ac:dyDescent="0.3">
      <c r="A103" s="1"/>
      <c r="D103">
        <v>7.72</v>
      </c>
      <c r="E103">
        <f>D103/20</f>
        <v>0.38600000000000001</v>
      </c>
      <c r="G103" t="s">
        <v>63</v>
      </c>
      <c r="H103">
        <f>AVERAGE(E102:E106)</f>
        <v>0.38659999999999994</v>
      </c>
    </row>
    <row r="104" spans="1:8" x14ac:dyDescent="0.3">
      <c r="A104" s="1"/>
      <c r="D104">
        <v>7.68</v>
      </c>
      <c r="E104">
        <f>D104/20</f>
        <v>0.38400000000000001</v>
      </c>
    </row>
    <row r="105" spans="1:8" x14ac:dyDescent="0.3">
      <c r="A105" s="1"/>
      <c r="D105">
        <v>7.84</v>
      </c>
      <c r="E105">
        <f>D105/20</f>
        <v>0.39200000000000002</v>
      </c>
    </row>
    <row r="106" spans="1:8" x14ac:dyDescent="0.3">
      <c r="A106" s="1"/>
      <c r="D106">
        <v>7.81</v>
      </c>
      <c r="E106">
        <f>D106/20</f>
        <v>0.39049999999999996</v>
      </c>
    </row>
    <row r="107" spans="1:8" x14ac:dyDescent="0.3">
      <c r="A107" s="1"/>
    </row>
    <row r="108" spans="1:8" x14ac:dyDescent="0.3">
      <c r="A108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07F8D585FFEC48B5D48AAECB67FAA6" ma:contentTypeVersion="5" ma:contentTypeDescription="Creare un nuovo documento." ma:contentTypeScope="" ma:versionID="0f0713393b05cda888a5e7e102b30231">
  <xsd:schema xmlns:xsd="http://www.w3.org/2001/XMLSchema" xmlns:xs="http://www.w3.org/2001/XMLSchema" xmlns:p="http://schemas.microsoft.com/office/2006/metadata/properties" xmlns:ns3="f985ec05-fa56-48d1-a148-c9337d7f2b35" xmlns:ns4="c749ac55-9d7d-4f50-bc9b-d05d935bb989" targetNamespace="http://schemas.microsoft.com/office/2006/metadata/properties" ma:root="true" ma:fieldsID="a84131cd00331da23e449dc1f4a8fd23" ns3:_="" ns4:_="">
    <xsd:import namespace="f985ec05-fa56-48d1-a148-c9337d7f2b35"/>
    <xsd:import namespace="c749ac55-9d7d-4f50-bc9b-d05d935bb9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5ec05-fa56-48d1-a148-c9337d7f2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49ac55-9d7d-4f50-bc9b-d05d935bb9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29309E-5E22-4149-A6B5-30457A1E2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5ec05-fa56-48d1-a148-c9337d7f2b35"/>
    <ds:schemaRef ds:uri="c749ac55-9d7d-4f50-bc9b-d05d935bb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8A8AFC-B96A-4C12-9A79-0D69CFEFC7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EFB12E-CF3F-440B-AAF0-AAFE6E11A67D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c749ac55-9d7d-4f50-bc9b-d05d935bb989"/>
    <ds:schemaRef ds:uri="http://purl.org/dc/terms/"/>
    <ds:schemaRef ds:uri="http://schemas.microsoft.com/office/infopath/2007/PartnerControls"/>
    <ds:schemaRef ds:uri="f985ec05-fa56-48d1-a148-c9337d7f2b3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Ordinati</vt:lpstr>
      <vt:lpstr>Brain-Storming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Alessio Martini</dc:creator>
  <cp:keywords/>
  <dc:description/>
  <cp:lastModifiedBy>Alessio Martini</cp:lastModifiedBy>
  <cp:revision/>
  <dcterms:created xsi:type="dcterms:W3CDTF">2021-03-11T18:57:20Z</dcterms:created>
  <dcterms:modified xsi:type="dcterms:W3CDTF">2021-05-09T21:58:02Z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0x010100BA07F8D585FFEC48B5D48AAECB67FAA6</vt:lpwstr>
  </property>
</Properties>
</file>